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ongtailre-my.sharepoint.com/personal/matthew_evans_longtailre_com/Documents/Documents/Code/fackler_paper/dist/"/>
    </mc:Choice>
  </mc:AlternateContent>
  <xr:revisionPtr revIDLastSave="2" documentId="11_5D22C9A72A7AB73991377FB61D7005B482B18C94" xr6:coauthVersionLast="47" xr6:coauthVersionMax="47" xr10:uidLastSave="{DA210C93-86FD-4B2B-BABC-8C96CE7DF5B1}"/>
  <bookViews>
    <workbookView xWindow="21915" yWindow="795" windowWidth="27675" windowHeight="21060" activeTab="1" xr2:uid="{00000000-000D-0000-FFFF-FFFF00000000}"/>
  </bookViews>
  <sheets>
    <sheet name="Introduction" sheetId="1" r:id="rId1"/>
    <sheet name="Pareto" sheetId="2" r:id="rId2"/>
    <sheet name="GPD" sheetId="3" r:id="rId3"/>
    <sheet name="Lomax" sheetId="4" r:id="rId4"/>
    <sheet name="Burr" sheetId="5" r:id="rId5"/>
    <sheet name="LN-Pareto" sheetId="6" r:id="rId6"/>
    <sheet name="Wei-Pareto" sheetId="7" r:id="rId7"/>
    <sheet name="Exp-Pareto" sheetId="8" r:id="rId8"/>
    <sheet name="Pow-Pareto" sheetId="9" r:id="rId9"/>
    <sheet name="Pareto-4P" sheetId="10" r:id="rId10"/>
    <sheet name="Pareto-5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 a="1"/>
  <c r="E9" i="2" s="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2" i="11"/>
  <c r="F102" i="11"/>
  <c r="E102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2" i="11"/>
  <c r="F92" i="11"/>
  <c r="E92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79" i="11"/>
  <c r="F79" i="11"/>
  <c r="E79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6" i="11"/>
  <c r="F66" i="11"/>
  <c r="E66" i="11"/>
  <c r="G65" i="11"/>
  <c r="F65" i="11"/>
  <c r="E65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6" i="11"/>
  <c r="F56" i="11"/>
  <c r="E56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3" i="11"/>
  <c r="F43" i="11"/>
  <c r="E43" i="11"/>
  <c r="G42" i="11"/>
  <c r="F42" i="11"/>
  <c r="E42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3" i="11"/>
  <c r="F33" i="11"/>
  <c r="E33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7" i="11"/>
  <c r="F27" i="11"/>
  <c r="E27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1" i="11"/>
  <c r="F21" i="11"/>
  <c r="E21" i="11"/>
  <c r="G20" i="11"/>
  <c r="F20" i="11"/>
  <c r="E20" i="11"/>
  <c r="G19" i="11"/>
  <c r="F19" i="11"/>
  <c r="E19" i="11"/>
  <c r="G18" i="11"/>
  <c r="F18" i="11"/>
  <c r="E18" i="11"/>
  <c r="G17" i="11"/>
  <c r="F17" i="11"/>
  <c r="E17" i="11"/>
  <c r="G16" i="11"/>
  <c r="F16" i="11"/>
  <c r="E16" i="11"/>
  <c r="G15" i="11"/>
  <c r="F15" i="11"/>
  <c r="E15" i="11"/>
  <c r="G14" i="11"/>
  <c r="F14" i="11"/>
  <c r="E14" i="11"/>
  <c r="G13" i="11"/>
  <c r="F13" i="11"/>
  <c r="E13" i="11"/>
  <c r="G12" i="11"/>
  <c r="F12" i="11"/>
  <c r="E12" i="11"/>
  <c r="G11" i="11"/>
  <c r="F11" i="11"/>
  <c r="E11" i="11"/>
  <c r="G10" i="11"/>
  <c r="F10" i="11"/>
  <c r="E10" i="11"/>
  <c r="G9" i="11"/>
  <c r="F9" i="11"/>
  <c r="E9" i="11"/>
  <c r="G108" i="10"/>
  <c r="F108" i="10"/>
  <c r="E108" i="10"/>
  <c r="G107" i="10"/>
  <c r="F107" i="10"/>
  <c r="E107" i="10"/>
  <c r="G106" i="10"/>
  <c r="F106" i="10"/>
  <c r="E106" i="10"/>
  <c r="G105" i="10"/>
  <c r="F105" i="10"/>
  <c r="E105" i="10"/>
  <c r="G104" i="10"/>
  <c r="F104" i="10"/>
  <c r="E104" i="10"/>
  <c r="G103" i="10"/>
  <c r="F103" i="10"/>
  <c r="E103" i="10"/>
  <c r="G102" i="10"/>
  <c r="F102" i="10"/>
  <c r="E102" i="10"/>
  <c r="G101" i="10"/>
  <c r="F101" i="10"/>
  <c r="E101" i="10"/>
  <c r="G100" i="10"/>
  <c r="F100" i="10"/>
  <c r="E100" i="10"/>
  <c r="G99" i="10"/>
  <c r="F99" i="10"/>
  <c r="E99" i="10"/>
  <c r="G98" i="10"/>
  <c r="F98" i="10"/>
  <c r="E98" i="10"/>
  <c r="G97" i="10"/>
  <c r="F97" i="10"/>
  <c r="E97" i="10"/>
  <c r="G96" i="10"/>
  <c r="F96" i="10"/>
  <c r="E96" i="10"/>
  <c r="G95" i="10"/>
  <c r="F95" i="10"/>
  <c r="E95" i="10"/>
  <c r="G94" i="10"/>
  <c r="F94" i="10"/>
  <c r="E94" i="10"/>
  <c r="G93" i="10"/>
  <c r="F93" i="10"/>
  <c r="E93" i="10"/>
  <c r="G92" i="10"/>
  <c r="F92" i="10"/>
  <c r="E92" i="10"/>
  <c r="G91" i="10"/>
  <c r="F91" i="10"/>
  <c r="E91" i="10"/>
  <c r="G90" i="10"/>
  <c r="F90" i="10"/>
  <c r="E90" i="10"/>
  <c r="G89" i="10"/>
  <c r="F89" i="10"/>
  <c r="E89" i="10"/>
  <c r="G88" i="10"/>
  <c r="F88" i="10"/>
  <c r="E88" i="10"/>
  <c r="G87" i="10"/>
  <c r="F87" i="10"/>
  <c r="E87" i="10"/>
  <c r="G86" i="10"/>
  <c r="F86" i="10"/>
  <c r="E86" i="10"/>
  <c r="G85" i="10"/>
  <c r="F85" i="10"/>
  <c r="E85" i="10"/>
  <c r="G84" i="10"/>
  <c r="F84" i="10"/>
  <c r="E84" i="10"/>
  <c r="G83" i="10"/>
  <c r="F83" i="10"/>
  <c r="E83" i="10"/>
  <c r="G82" i="10"/>
  <c r="F82" i="10"/>
  <c r="E82" i="10"/>
  <c r="G81" i="10"/>
  <c r="F81" i="10"/>
  <c r="E81" i="10"/>
  <c r="G80" i="10"/>
  <c r="F80" i="10"/>
  <c r="E80" i="10"/>
  <c r="G79" i="10"/>
  <c r="F79" i="10"/>
  <c r="E79" i="10"/>
  <c r="G78" i="10"/>
  <c r="F78" i="10"/>
  <c r="E78" i="10"/>
  <c r="G77" i="10"/>
  <c r="F77" i="10"/>
  <c r="E77" i="10"/>
  <c r="G76" i="10"/>
  <c r="F76" i="10"/>
  <c r="E76" i="10"/>
  <c r="G75" i="10"/>
  <c r="F75" i="10"/>
  <c r="E75" i="10"/>
  <c r="G74" i="10"/>
  <c r="F74" i="10"/>
  <c r="E74" i="10"/>
  <c r="G73" i="10"/>
  <c r="F73" i="10"/>
  <c r="E73" i="10"/>
  <c r="G72" i="10"/>
  <c r="F72" i="10"/>
  <c r="E72" i="10"/>
  <c r="G71" i="10"/>
  <c r="F71" i="10"/>
  <c r="E71" i="10"/>
  <c r="G70" i="10"/>
  <c r="F70" i="10"/>
  <c r="E70" i="10"/>
  <c r="G69" i="10"/>
  <c r="F69" i="10"/>
  <c r="E69" i="10"/>
  <c r="G68" i="10"/>
  <c r="F68" i="10"/>
  <c r="E68" i="10"/>
  <c r="G67" i="10"/>
  <c r="F67" i="10"/>
  <c r="E67" i="10"/>
  <c r="G66" i="10"/>
  <c r="F66" i="10"/>
  <c r="E66" i="10"/>
  <c r="G65" i="10"/>
  <c r="F65" i="10"/>
  <c r="E65" i="10"/>
  <c r="G64" i="10"/>
  <c r="F64" i="10"/>
  <c r="E64" i="10"/>
  <c r="G63" i="10"/>
  <c r="F63" i="10"/>
  <c r="E63" i="10"/>
  <c r="G62" i="10"/>
  <c r="F62" i="10"/>
  <c r="E62" i="10"/>
  <c r="G61" i="10"/>
  <c r="F61" i="10"/>
  <c r="E61" i="10"/>
  <c r="G60" i="10"/>
  <c r="F60" i="10"/>
  <c r="E60" i="10"/>
  <c r="G59" i="10"/>
  <c r="F59" i="10"/>
  <c r="E59" i="10"/>
  <c r="G58" i="10"/>
  <c r="F58" i="10"/>
  <c r="E58" i="10"/>
  <c r="G57" i="10"/>
  <c r="F57" i="10"/>
  <c r="E57" i="10"/>
  <c r="G56" i="10"/>
  <c r="F56" i="10"/>
  <c r="E56" i="10"/>
  <c r="G55" i="10"/>
  <c r="F55" i="10"/>
  <c r="E55" i="10"/>
  <c r="G54" i="10"/>
  <c r="F54" i="10"/>
  <c r="E54" i="10"/>
  <c r="G53" i="10"/>
  <c r="F53" i="10"/>
  <c r="E53" i="10"/>
  <c r="G52" i="10"/>
  <c r="F52" i="10"/>
  <c r="E52" i="10"/>
  <c r="G51" i="10"/>
  <c r="F51" i="10"/>
  <c r="E51" i="10"/>
  <c r="G50" i="10"/>
  <c r="F50" i="10"/>
  <c r="E50" i="10"/>
  <c r="G49" i="10"/>
  <c r="F49" i="10"/>
  <c r="E49" i="10"/>
  <c r="G48" i="10"/>
  <c r="F48" i="10"/>
  <c r="E48" i="10"/>
  <c r="G47" i="10"/>
  <c r="F47" i="10"/>
  <c r="E47" i="10"/>
  <c r="G46" i="10"/>
  <c r="F46" i="10"/>
  <c r="E46" i="10"/>
  <c r="G45" i="10"/>
  <c r="F45" i="10"/>
  <c r="E45" i="10"/>
  <c r="G44" i="10"/>
  <c r="F44" i="10"/>
  <c r="E44" i="10"/>
  <c r="G43" i="10"/>
  <c r="F43" i="10"/>
  <c r="E43" i="10"/>
  <c r="G42" i="10"/>
  <c r="F42" i="10"/>
  <c r="E42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G37" i="10"/>
  <c r="F37" i="10"/>
  <c r="E37" i="10"/>
  <c r="G36" i="10"/>
  <c r="F36" i="10"/>
  <c r="E36" i="10"/>
  <c r="G35" i="10"/>
  <c r="F35" i="10"/>
  <c r="E35" i="10"/>
  <c r="G34" i="10"/>
  <c r="F34" i="10"/>
  <c r="E34" i="10"/>
  <c r="G33" i="10"/>
  <c r="F33" i="10"/>
  <c r="E33" i="10"/>
  <c r="G32" i="10"/>
  <c r="F32" i="10"/>
  <c r="E32" i="10"/>
  <c r="G31" i="10"/>
  <c r="F31" i="10"/>
  <c r="E31" i="10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F13" i="10"/>
  <c r="E13" i="10"/>
  <c r="G12" i="10"/>
  <c r="F12" i="10"/>
  <c r="E12" i="10"/>
  <c r="G11" i="10"/>
  <c r="F11" i="10"/>
  <c r="E11" i="10"/>
  <c r="G10" i="10"/>
  <c r="F10" i="10"/>
  <c r="E10" i="10"/>
  <c r="G9" i="10"/>
  <c r="F9" i="10"/>
  <c r="E9" i="10"/>
  <c r="G108" i="9"/>
  <c r="F108" i="9"/>
  <c r="E108" i="9"/>
  <c r="G107" i="9"/>
  <c r="F107" i="9"/>
  <c r="E107" i="9"/>
  <c r="G106" i="9"/>
  <c r="F106" i="9"/>
  <c r="E106" i="9"/>
  <c r="G105" i="9"/>
  <c r="F105" i="9"/>
  <c r="E105" i="9"/>
  <c r="G104" i="9"/>
  <c r="F104" i="9"/>
  <c r="E104" i="9"/>
  <c r="G103" i="9"/>
  <c r="F103" i="9"/>
  <c r="E103" i="9"/>
  <c r="G102" i="9"/>
  <c r="F102" i="9"/>
  <c r="E102" i="9"/>
  <c r="G101" i="9"/>
  <c r="F101" i="9"/>
  <c r="E101" i="9"/>
  <c r="G100" i="9"/>
  <c r="F100" i="9"/>
  <c r="E100" i="9"/>
  <c r="G99" i="9"/>
  <c r="F99" i="9"/>
  <c r="E99" i="9"/>
  <c r="G98" i="9"/>
  <c r="F98" i="9"/>
  <c r="E98" i="9"/>
  <c r="G97" i="9"/>
  <c r="F97" i="9"/>
  <c r="E97" i="9"/>
  <c r="G96" i="9"/>
  <c r="F96" i="9"/>
  <c r="E96" i="9"/>
  <c r="G95" i="9"/>
  <c r="F95" i="9"/>
  <c r="E95" i="9"/>
  <c r="G94" i="9"/>
  <c r="F94" i="9"/>
  <c r="E94" i="9"/>
  <c r="G93" i="9"/>
  <c r="F93" i="9"/>
  <c r="E93" i="9"/>
  <c r="G92" i="9"/>
  <c r="F92" i="9"/>
  <c r="E92" i="9"/>
  <c r="G91" i="9"/>
  <c r="F91" i="9"/>
  <c r="E91" i="9"/>
  <c r="G90" i="9"/>
  <c r="F90" i="9"/>
  <c r="E90" i="9"/>
  <c r="G89" i="9"/>
  <c r="F89" i="9"/>
  <c r="E89" i="9"/>
  <c r="G88" i="9"/>
  <c r="F88" i="9"/>
  <c r="E88" i="9"/>
  <c r="G87" i="9"/>
  <c r="F87" i="9"/>
  <c r="E87" i="9"/>
  <c r="G86" i="9"/>
  <c r="F86" i="9"/>
  <c r="E86" i="9"/>
  <c r="G85" i="9"/>
  <c r="F85" i="9"/>
  <c r="E85" i="9"/>
  <c r="G84" i="9"/>
  <c r="F84" i="9"/>
  <c r="E84" i="9"/>
  <c r="G83" i="9"/>
  <c r="F83" i="9"/>
  <c r="E83" i="9"/>
  <c r="G82" i="9"/>
  <c r="F82" i="9"/>
  <c r="E82" i="9"/>
  <c r="G81" i="9"/>
  <c r="F81" i="9"/>
  <c r="E81" i="9"/>
  <c r="G80" i="9"/>
  <c r="F80" i="9"/>
  <c r="E80" i="9"/>
  <c r="G79" i="9"/>
  <c r="F79" i="9"/>
  <c r="E79" i="9"/>
  <c r="G78" i="9"/>
  <c r="F78" i="9"/>
  <c r="E78" i="9"/>
  <c r="G77" i="9"/>
  <c r="F77" i="9"/>
  <c r="E77" i="9"/>
  <c r="G76" i="9"/>
  <c r="F76" i="9"/>
  <c r="E76" i="9"/>
  <c r="G75" i="9"/>
  <c r="F75" i="9"/>
  <c r="E75" i="9"/>
  <c r="G74" i="9"/>
  <c r="F74" i="9"/>
  <c r="E74" i="9"/>
  <c r="G73" i="9"/>
  <c r="F73" i="9"/>
  <c r="E73" i="9"/>
  <c r="G72" i="9"/>
  <c r="F72" i="9"/>
  <c r="E72" i="9"/>
  <c r="G71" i="9"/>
  <c r="F71" i="9"/>
  <c r="E71" i="9"/>
  <c r="G70" i="9"/>
  <c r="F70" i="9"/>
  <c r="E70" i="9"/>
  <c r="G69" i="9"/>
  <c r="F69" i="9"/>
  <c r="E69" i="9"/>
  <c r="G68" i="9"/>
  <c r="F68" i="9"/>
  <c r="E68" i="9"/>
  <c r="G67" i="9"/>
  <c r="F67" i="9"/>
  <c r="E67" i="9"/>
  <c r="G66" i="9"/>
  <c r="F66" i="9"/>
  <c r="E66" i="9"/>
  <c r="G65" i="9"/>
  <c r="F65" i="9"/>
  <c r="E65" i="9"/>
  <c r="G64" i="9"/>
  <c r="F64" i="9"/>
  <c r="E64" i="9"/>
  <c r="G63" i="9"/>
  <c r="F63" i="9"/>
  <c r="E63" i="9"/>
  <c r="G62" i="9"/>
  <c r="F62" i="9"/>
  <c r="E62" i="9"/>
  <c r="G61" i="9"/>
  <c r="F61" i="9"/>
  <c r="E61" i="9"/>
  <c r="G60" i="9"/>
  <c r="F60" i="9"/>
  <c r="E60" i="9"/>
  <c r="G59" i="9"/>
  <c r="F59" i="9"/>
  <c r="E59" i="9"/>
  <c r="G58" i="9"/>
  <c r="F58" i="9"/>
  <c r="E58" i="9"/>
  <c r="G57" i="9"/>
  <c r="F57" i="9"/>
  <c r="E57" i="9"/>
  <c r="G56" i="9"/>
  <c r="F56" i="9"/>
  <c r="E56" i="9"/>
  <c r="G55" i="9"/>
  <c r="F55" i="9"/>
  <c r="E55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F47" i="9"/>
  <c r="E47" i="9"/>
  <c r="G46" i="9"/>
  <c r="F46" i="9"/>
  <c r="E46" i="9"/>
  <c r="G45" i="9"/>
  <c r="F45" i="9"/>
  <c r="E45" i="9"/>
  <c r="G44" i="9"/>
  <c r="F44" i="9"/>
  <c r="E44" i="9"/>
  <c r="G43" i="9"/>
  <c r="F43" i="9"/>
  <c r="E43" i="9"/>
  <c r="G42" i="9"/>
  <c r="F42" i="9"/>
  <c r="E42" i="9"/>
  <c r="G41" i="9"/>
  <c r="F41" i="9"/>
  <c r="E41" i="9"/>
  <c r="G40" i="9"/>
  <c r="F40" i="9"/>
  <c r="E40" i="9"/>
  <c r="G39" i="9"/>
  <c r="F39" i="9"/>
  <c r="E39" i="9"/>
  <c r="G38" i="9"/>
  <c r="F38" i="9"/>
  <c r="E38" i="9"/>
  <c r="G37" i="9"/>
  <c r="F37" i="9"/>
  <c r="E37" i="9"/>
  <c r="G36" i="9"/>
  <c r="F36" i="9"/>
  <c r="E36" i="9"/>
  <c r="G35" i="9"/>
  <c r="F35" i="9"/>
  <c r="E35" i="9"/>
  <c r="G34" i="9"/>
  <c r="F34" i="9"/>
  <c r="E34" i="9"/>
  <c r="G33" i="9"/>
  <c r="F33" i="9"/>
  <c r="E33" i="9"/>
  <c r="G32" i="9"/>
  <c r="F32" i="9"/>
  <c r="E32" i="9"/>
  <c r="G31" i="9"/>
  <c r="F31" i="9"/>
  <c r="E31" i="9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G18" i="9"/>
  <c r="F18" i="9"/>
  <c r="E18" i="9"/>
  <c r="G17" i="9"/>
  <c r="F17" i="9"/>
  <c r="E17" i="9"/>
  <c r="G16" i="9"/>
  <c r="F16" i="9"/>
  <c r="E16" i="9"/>
  <c r="G15" i="9"/>
  <c r="F15" i="9"/>
  <c r="E15" i="9"/>
  <c r="G14" i="9"/>
  <c r="F14" i="9"/>
  <c r="E14" i="9"/>
  <c r="B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B14" i="8"/>
  <c r="G13" i="8"/>
  <c r="F13" i="8"/>
  <c r="E13" i="8"/>
  <c r="B13" i="8"/>
  <c r="G12" i="8"/>
  <c r="F12" i="8"/>
  <c r="E12" i="8"/>
  <c r="G11" i="8"/>
  <c r="F11" i="8"/>
  <c r="E11" i="8"/>
  <c r="G10" i="8"/>
  <c r="F10" i="8"/>
  <c r="E10" i="8"/>
  <c r="G9" i="8"/>
  <c r="F9" i="8"/>
  <c r="E9" i="8"/>
  <c r="G108" i="7"/>
  <c r="F108" i="7"/>
  <c r="E108" i="7"/>
  <c r="G107" i="7"/>
  <c r="F107" i="7"/>
  <c r="E107" i="7"/>
  <c r="G106" i="7"/>
  <c r="F106" i="7"/>
  <c r="E106" i="7"/>
  <c r="G105" i="7"/>
  <c r="F105" i="7"/>
  <c r="E105" i="7"/>
  <c r="G104" i="7"/>
  <c r="F104" i="7"/>
  <c r="E104" i="7"/>
  <c r="G103" i="7"/>
  <c r="F103" i="7"/>
  <c r="E103" i="7"/>
  <c r="G102" i="7"/>
  <c r="F102" i="7"/>
  <c r="E102" i="7"/>
  <c r="G101" i="7"/>
  <c r="F101" i="7"/>
  <c r="E101" i="7"/>
  <c r="G100" i="7"/>
  <c r="F100" i="7"/>
  <c r="E100" i="7"/>
  <c r="G99" i="7"/>
  <c r="F99" i="7"/>
  <c r="E99" i="7"/>
  <c r="G98" i="7"/>
  <c r="F98" i="7"/>
  <c r="E98" i="7"/>
  <c r="G97" i="7"/>
  <c r="F97" i="7"/>
  <c r="E97" i="7"/>
  <c r="G96" i="7"/>
  <c r="F96" i="7"/>
  <c r="E96" i="7"/>
  <c r="G95" i="7"/>
  <c r="F95" i="7"/>
  <c r="E95" i="7"/>
  <c r="G94" i="7"/>
  <c r="F94" i="7"/>
  <c r="E94" i="7"/>
  <c r="G93" i="7"/>
  <c r="F93" i="7"/>
  <c r="E93" i="7"/>
  <c r="G92" i="7"/>
  <c r="F92" i="7"/>
  <c r="E92" i="7"/>
  <c r="G91" i="7"/>
  <c r="F91" i="7"/>
  <c r="E91" i="7"/>
  <c r="G90" i="7"/>
  <c r="F90" i="7"/>
  <c r="E90" i="7"/>
  <c r="G89" i="7"/>
  <c r="F89" i="7"/>
  <c r="E89" i="7"/>
  <c r="G88" i="7"/>
  <c r="F88" i="7"/>
  <c r="E88" i="7"/>
  <c r="G87" i="7"/>
  <c r="F87" i="7"/>
  <c r="E87" i="7"/>
  <c r="G86" i="7"/>
  <c r="F86" i="7"/>
  <c r="E86" i="7"/>
  <c r="G85" i="7"/>
  <c r="F85" i="7"/>
  <c r="E85" i="7"/>
  <c r="G84" i="7"/>
  <c r="F84" i="7"/>
  <c r="E84" i="7"/>
  <c r="G83" i="7"/>
  <c r="F83" i="7"/>
  <c r="E83" i="7"/>
  <c r="G82" i="7"/>
  <c r="F82" i="7"/>
  <c r="E82" i="7"/>
  <c r="G81" i="7"/>
  <c r="F81" i="7"/>
  <c r="E81" i="7"/>
  <c r="G80" i="7"/>
  <c r="F80" i="7"/>
  <c r="E80" i="7"/>
  <c r="G79" i="7"/>
  <c r="F79" i="7"/>
  <c r="E79" i="7"/>
  <c r="G78" i="7"/>
  <c r="F78" i="7"/>
  <c r="E78" i="7"/>
  <c r="G77" i="7"/>
  <c r="F77" i="7"/>
  <c r="E77" i="7"/>
  <c r="G76" i="7"/>
  <c r="F76" i="7"/>
  <c r="E76" i="7"/>
  <c r="G75" i="7"/>
  <c r="F75" i="7"/>
  <c r="E75" i="7"/>
  <c r="G74" i="7"/>
  <c r="F74" i="7"/>
  <c r="E74" i="7"/>
  <c r="G73" i="7"/>
  <c r="F73" i="7"/>
  <c r="E73" i="7"/>
  <c r="G72" i="7"/>
  <c r="F72" i="7"/>
  <c r="E72" i="7"/>
  <c r="G71" i="7"/>
  <c r="F71" i="7"/>
  <c r="E71" i="7"/>
  <c r="G70" i="7"/>
  <c r="F70" i="7"/>
  <c r="E70" i="7"/>
  <c r="G69" i="7"/>
  <c r="F69" i="7"/>
  <c r="E69" i="7"/>
  <c r="G68" i="7"/>
  <c r="F68" i="7"/>
  <c r="E68" i="7"/>
  <c r="G67" i="7"/>
  <c r="F67" i="7"/>
  <c r="E67" i="7"/>
  <c r="G66" i="7"/>
  <c r="F66" i="7"/>
  <c r="E66" i="7"/>
  <c r="G65" i="7"/>
  <c r="F65" i="7"/>
  <c r="E65" i="7"/>
  <c r="G64" i="7"/>
  <c r="F64" i="7"/>
  <c r="E64" i="7"/>
  <c r="G63" i="7"/>
  <c r="F63" i="7"/>
  <c r="E63" i="7"/>
  <c r="G62" i="7"/>
  <c r="F62" i="7"/>
  <c r="E62" i="7"/>
  <c r="G61" i="7"/>
  <c r="F61" i="7"/>
  <c r="E61" i="7"/>
  <c r="G60" i="7"/>
  <c r="F60" i="7"/>
  <c r="E60" i="7"/>
  <c r="G59" i="7"/>
  <c r="F59" i="7"/>
  <c r="E59" i="7"/>
  <c r="G58" i="7"/>
  <c r="F58" i="7"/>
  <c r="E58" i="7"/>
  <c r="G57" i="7"/>
  <c r="F57" i="7"/>
  <c r="E57" i="7"/>
  <c r="G56" i="7"/>
  <c r="F56" i="7"/>
  <c r="E56" i="7"/>
  <c r="G55" i="7"/>
  <c r="F55" i="7"/>
  <c r="E55" i="7"/>
  <c r="G54" i="7"/>
  <c r="F54" i="7"/>
  <c r="E54" i="7"/>
  <c r="G53" i="7"/>
  <c r="F53" i="7"/>
  <c r="E53" i="7"/>
  <c r="G52" i="7"/>
  <c r="F52" i="7"/>
  <c r="E52" i="7"/>
  <c r="G51" i="7"/>
  <c r="F51" i="7"/>
  <c r="E51" i="7"/>
  <c r="G50" i="7"/>
  <c r="F50" i="7"/>
  <c r="E50" i="7"/>
  <c r="G49" i="7"/>
  <c r="F49" i="7"/>
  <c r="E49" i="7"/>
  <c r="G48" i="7"/>
  <c r="F48" i="7"/>
  <c r="E48" i="7"/>
  <c r="G47" i="7"/>
  <c r="F47" i="7"/>
  <c r="E47" i="7"/>
  <c r="G46" i="7"/>
  <c r="F46" i="7"/>
  <c r="E46" i="7"/>
  <c r="G45" i="7"/>
  <c r="F45" i="7"/>
  <c r="E45" i="7"/>
  <c r="G44" i="7"/>
  <c r="F44" i="7"/>
  <c r="E44" i="7"/>
  <c r="G43" i="7"/>
  <c r="F43" i="7"/>
  <c r="E43" i="7"/>
  <c r="G42" i="7"/>
  <c r="F42" i="7"/>
  <c r="E42" i="7"/>
  <c r="G41" i="7"/>
  <c r="F41" i="7"/>
  <c r="E41" i="7"/>
  <c r="G40" i="7"/>
  <c r="F40" i="7"/>
  <c r="E40" i="7"/>
  <c r="G39" i="7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B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108" i="6"/>
  <c r="F108" i="6"/>
  <c r="E108" i="6"/>
  <c r="G107" i="6"/>
  <c r="F107" i="6"/>
  <c r="E107" i="6"/>
  <c r="G106" i="6"/>
  <c r="F106" i="6"/>
  <c r="E106" i="6"/>
  <c r="G105" i="6"/>
  <c r="F105" i="6"/>
  <c r="E105" i="6"/>
  <c r="G104" i="6"/>
  <c r="F104" i="6"/>
  <c r="E104" i="6"/>
  <c r="G103" i="6"/>
  <c r="F103" i="6"/>
  <c r="E103" i="6"/>
  <c r="G102" i="6"/>
  <c r="F102" i="6"/>
  <c r="E102" i="6"/>
  <c r="G101" i="6"/>
  <c r="F101" i="6"/>
  <c r="E101" i="6"/>
  <c r="G100" i="6"/>
  <c r="F100" i="6"/>
  <c r="E100" i="6"/>
  <c r="G99" i="6"/>
  <c r="F99" i="6"/>
  <c r="E99" i="6"/>
  <c r="G98" i="6"/>
  <c r="F98" i="6"/>
  <c r="E98" i="6"/>
  <c r="G97" i="6"/>
  <c r="F97" i="6"/>
  <c r="E97" i="6"/>
  <c r="G96" i="6"/>
  <c r="F96" i="6"/>
  <c r="E96" i="6"/>
  <c r="G95" i="6"/>
  <c r="F95" i="6"/>
  <c r="E95" i="6"/>
  <c r="G94" i="6"/>
  <c r="F94" i="6"/>
  <c r="E94" i="6"/>
  <c r="G93" i="6"/>
  <c r="F93" i="6"/>
  <c r="E93" i="6"/>
  <c r="G92" i="6"/>
  <c r="F92" i="6"/>
  <c r="E92" i="6"/>
  <c r="G91" i="6"/>
  <c r="F91" i="6"/>
  <c r="E91" i="6"/>
  <c r="G90" i="6"/>
  <c r="F90" i="6"/>
  <c r="E90" i="6"/>
  <c r="G89" i="6"/>
  <c r="F89" i="6"/>
  <c r="E89" i="6"/>
  <c r="G88" i="6"/>
  <c r="F88" i="6"/>
  <c r="E88" i="6"/>
  <c r="G87" i="6"/>
  <c r="F87" i="6"/>
  <c r="E87" i="6"/>
  <c r="G86" i="6"/>
  <c r="F86" i="6"/>
  <c r="E86" i="6"/>
  <c r="G85" i="6"/>
  <c r="F85" i="6"/>
  <c r="E85" i="6"/>
  <c r="G84" i="6"/>
  <c r="F84" i="6"/>
  <c r="E84" i="6"/>
  <c r="G83" i="6"/>
  <c r="F83" i="6"/>
  <c r="E83" i="6"/>
  <c r="G82" i="6"/>
  <c r="F82" i="6"/>
  <c r="E82" i="6"/>
  <c r="G81" i="6"/>
  <c r="F81" i="6"/>
  <c r="E81" i="6"/>
  <c r="G80" i="6"/>
  <c r="F80" i="6"/>
  <c r="E80" i="6"/>
  <c r="G79" i="6"/>
  <c r="F79" i="6"/>
  <c r="E79" i="6"/>
  <c r="G78" i="6"/>
  <c r="F78" i="6"/>
  <c r="E78" i="6"/>
  <c r="G77" i="6"/>
  <c r="F77" i="6"/>
  <c r="E77" i="6"/>
  <c r="G76" i="6"/>
  <c r="F76" i="6"/>
  <c r="E76" i="6"/>
  <c r="G75" i="6"/>
  <c r="F75" i="6"/>
  <c r="E75" i="6"/>
  <c r="G74" i="6"/>
  <c r="F74" i="6"/>
  <c r="E74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8" i="6"/>
  <c r="F68" i="6"/>
  <c r="E68" i="6"/>
  <c r="G67" i="6"/>
  <c r="F67" i="6"/>
  <c r="E67" i="6"/>
  <c r="G66" i="6"/>
  <c r="F66" i="6"/>
  <c r="E66" i="6"/>
  <c r="G65" i="6"/>
  <c r="F65" i="6"/>
  <c r="E65" i="6"/>
  <c r="G64" i="6"/>
  <c r="F64" i="6"/>
  <c r="E64" i="6"/>
  <c r="G63" i="6"/>
  <c r="F63" i="6"/>
  <c r="E63" i="6"/>
  <c r="G62" i="6"/>
  <c r="F62" i="6"/>
  <c r="E62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5" i="6"/>
  <c r="F55" i="6"/>
  <c r="E55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G46" i="6"/>
  <c r="F46" i="6"/>
  <c r="E46" i="6"/>
  <c r="G45" i="6"/>
  <c r="F45" i="6"/>
  <c r="E45" i="6"/>
  <c r="G44" i="6"/>
  <c r="F44" i="6"/>
  <c r="E44" i="6"/>
  <c r="G43" i="6"/>
  <c r="F43" i="6"/>
  <c r="E43" i="6"/>
  <c r="G42" i="6"/>
  <c r="F42" i="6"/>
  <c r="E42" i="6"/>
  <c r="G41" i="6"/>
  <c r="F41" i="6"/>
  <c r="E41" i="6"/>
  <c r="G40" i="6"/>
  <c r="F40" i="6"/>
  <c r="E40" i="6"/>
  <c r="G39" i="6"/>
  <c r="F39" i="6"/>
  <c r="E39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3" i="6"/>
  <c r="F33" i="6"/>
  <c r="E33" i="6"/>
  <c r="G32" i="6"/>
  <c r="F32" i="6"/>
  <c r="E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B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<sst xmlns="http://schemas.openxmlformats.org/spreadsheetml/2006/main" count="155" uniqueCount="80">
  <si>
    <t>Fackler Distributions Excel Add-in</t>
  </si>
  <si>
    <t>Based on: Fackler, M. (2013) 'Reinventing Pareto: Fits for both small and large losses'</t>
  </si>
  <si>
    <t>This Excel add-in provides functions for actuarial loss severity distributions</t>
  </si>
  <si>
    <t>from the Pareto family and their extensions.</t>
  </si>
  <si>
    <t>INSTALLATION:</t>
  </si>
  <si>
    <t>1. Close Excel</t>
  </si>
  <si>
    <t>2. Double-click the FacklerDistributions-AddIn64.xll file</t>
  </si>
  <si>
    <t>3. When Excel opens, click "Enable" if prompted</t>
  </si>
  <si>
    <t>4. The functions will be available with prefix FACKLER.*</t>
  </si>
  <si>
    <t>AVAILABLE DISTRIBUTIONS:</t>
  </si>
  <si>
    <t>Core Pareto Family:</t>
  </si>
  <si>
    <t xml:space="preserve">  - FACKLER.PARETO.*    : Pareto Type I (Single-parameter)</t>
  </si>
  <si>
    <t xml:space="preserve">  - FACKLER.GPD.*       : Generalized Pareto Distribution</t>
  </si>
  <si>
    <t xml:space="preserve">  - FACKLER.LOMAX.*     : Lomax (Pareto Type II)</t>
  </si>
  <si>
    <t xml:space="preserve">  - FACKLER.BURR.*      : Burr Type XII</t>
  </si>
  <si>
    <t>Spliced Distributions:</t>
  </si>
  <si>
    <t xml:space="preserve">  - FACKLER.LNPARETO.*  : Lognormal-Pareto (Czeledin distribution)</t>
  </si>
  <si>
    <t xml:space="preserve">  - FACKLER.WEIPARETO.* : Weibull-Pareto</t>
  </si>
  <si>
    <t xml:space="preserve">  - FACKLER.EXPPARETO.* : Exponential-Pareto</t>
  </si>
  <si>
    <t xml:space="preserve">  - FACKLER.POWPARETO.* : Power-Pareto (Log-Laplace)</t>
  </si>
  <si>
    <t>Mixed Distributions:</t>
  </si>
  <si>
    <t xml:space="preserve">  - FACKLER.PARETO4.*   : 4-Parameter Pareto</t>
  </si>
  <si>
    <t xml:space="preserve">  - FACKLER.PARETO5.*   : 5-Parameter Pareto</t>
  </si>
  <si>
    <t>Each distribution has .PDF, .CDF, and .SF (survival function) variants.</t>
  </si>
  <si>
    <t>REFERENCES:</t>
  </si>
  <si>
    <t xml:space="preserve">  - Fackler (2013): reference/Fackler_Paper_Hague2013.pdf</t>
  </si>
  <si>
    <t xml:space="preserve">  - Wikipedia: Pareto, GPD, Lomax, Burr distributions</t>
  </si>
  <si>
    <t>See the other sheets in this workbook for examples of each distribution.</t>
  </si>
  <si>
    <t>Pareto Type I Distribution</t>
  </si>
  <si>
    <t>Description:</t>
  </si>
  <si>
    <t>The classic reinsurance tail model. F̄(x) = (θ/x)^α for x ≥ θ. Has a 'memoryless' property where α remains invariant across different thresholds.</t>
  </si>
  <si>
    <t>Parameters</t>
  </si>
  <si>
    <t>x</t>
  </si>
  <si>
    <t>PDF</t>
  </si>
  <si>
    <t>CDF</t>
  </si>
  <si>
    <t>SF</t>
  </si>
  <si>
    <t>α (alpha)</t>
  </si>
  <si>
    <t>θ (theta)</t>
  </si>
  <si>
    <t>Note: x must be ≥ θ. For x &lt; θ, PDF=0 and CDF=0.</t>
  </si>
  <si>
    <t>Generalized Pareto Distribution</t>
  </si>
  <si>
    <t>GPD generalizes Pareto with F̄(x|X&gt;θ) = ((θ+λ)/(x+λ))^α. Both α and λ are invariant when modeling higher tails.</t>
  </si>
  <si>
    <t>λ (lambda)</t>
  </si>
  <si>
    <t>λ=0 reduces to Pareto. λ&gt;0 with θ=0 gives Lomax.</t>
  </si>
  <si>
    <t>Lomax Distribution (Pareto Type II)</t>
  </si>
  <si>
    <t>Lomax is a special case of GPD with θ=0. F̄(x) = (λ/(x+λ))^α. A ground-up distribution starting at 0.</t>
  </si>
  <si>
    <t>Burr Type XII Distribution</t>
  </si>
  <si>
    <t>Three-parameter generalization. F̄(x) = (1/(1+(x/λ)^τ))^α. τ&gt;1 gives bell-shaped density, τ&lt;1 gives decreasing density.</t>
  </si>
  <si>
    <t>τ (tau)</t>
  </si>
  <si>
    <t>Asymptotic Pareto exponent = α·τ</t>
  </si>
  <si>
    <t>Lognormal-Pareto (Czeledin) Distribution</t>
  </si>
  <si>
    <t>Spliced model: Lognormal body for x&lt;θ, Pareto tail for x≥θ. PDF is continuous at θ. Popular in reinsurance.</t>
  </si>
  <si>
    <t>μ (mu)</t>
  </si>
  <si>
    <t>σ (sigma)</t>
  </si>
  <si>
    <t>Derived Parameters</t>
  </si>
  <si>
    <t>Derived α</t>
  </si>
  <si>
    <t>α is derived from the C1 smoothness condition.</t>
  </si>
  <si>
    <t>Weibull-Pareto Distribution</t>
  </si>
  <si>
    <t>Spliced model: Weibull body for x&lt;θ, Pareto tail for x≥θ. k&gt;1 gives bell-shaped body, k&lt;1 gives decreasing body.</t>
  </si>
  <si>
    <t>k (shape)</t>
  </si>
  <si>
    <t>scale</t>
  </si>
  <si>
    <t>r (body weight)</t>
  </si>
  <si>
    <t>Exponential-Pareto Distribution</t>
  </si>
  <si>
    <t>Spliced model with only 2 parameters. Exponential body, Pareto tail. Local α increases linearly from 0 to α across the body.</t>
  </si>
  <si>
    <t>rate (λ)</t>
  </si>
  <si>
    <t>Derived r</t>
  </si>
  <si>
    <t>α = θ·rate, r = 1-exp(-rate·θ)</t>
  </si>
  <si>
    <t>Power-Pareto (Log-Laplace) Distribution</t>
  </si>
  <si>
    <t>Spliced model: Power function body (x/θ)^β, Pareto tail. Also known as double Pareto or Log-Laplace distribution.</t>
  </si>
  <si>
    <t>β (beta)</t>
  </si>
  <si>
    <t>r = α/(α+β) from C1 smoothness condition</t>
  </si>
  <si>
    <t>4-Parameter Pareto Distribution</t>
  </si>
  <si>
    <t>Mixture of two Lomax distributions with constraint α₁ = α₂ + 2. Used by ISO for general liability business.</t>
  </si>
  <si>
    <t>α₂</t>
  </si>
  <si>
    <t>λ₁</t>
  </si>
  <si>
    <t>λ₂</t>
  </si>
  <si>
    <t>r (weight)</t>
  </si>
  <si>
    <t>α₁ = α₂ + 2 (constraint)</t>
  </si>
  <si>
    <t>5-Parameter Pareto Distribution</t>
  </si>
  <si>
    <t>Unconstrained mixture of two Lomax distributions. First component dominates small losses, second dominates tail.</t>
  </si>
  <si>
    <t>α₁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</si>
</sst>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name val="Calibri"/>
    </font>
    <font>
      <i/>
      <sz val="12"/>
      <name val="Calibri"/>
    </font>
    <font>
      <b/>
      <sz val="16"/>
      <name val="Calibri"/>
    </font>
    <font>
      <b/>
      <sz val="11"/>
      <name val="Calibri"/>
    </font>
    <font>
      <b/>
      <sz val="14"/>
      <color rgb="FFFFFFFF"/>
      <name val="Calibri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2" borderId="0" xfId="0" applyFont="1" applyFill="1"/>
    <xf numFmtId="0" fontId="0" fillId="3" borderId="0" xfId="0" applyFill="1"/>
    <xf numFmtId="0" fontId="0" fillId="3" borderId="1" xfId="0" applyFill="1" applyBorder="1"/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Pareto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Pareto!$E$8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Pareto!$D$9:$D$108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1.0909089999999999</c:v>
                </c:pt>
                <c:pt idx="2">
                  <c:v>1.181818</c:v>
                </c:pt>
                <c:pt idx="3">
                  <c:v>1.2727269999999999</c:v>
                </c:pt>
                <c:pt idx="4">
                  <c:v>1.3636360000000001</c:v>
                </c:pt>
                <c:pt idx="5">
                  <c:v>1.454545</c:v>
                </c:pt>
                <c:pt idx="6">
                  <c:v>1.545455</c:v>
                </c:pt>
                <c:pt idx="7">
                  <c:v>1.6363639999999999</c:v>
                </c:pt>
                <c:pt idx="8">
                  <c:v>1.7272730000000001</c:v>
                </c:pt>
                <c:pt idx="9">
                  <c:v>1.818182</c:v>
                </c:pt>
                <c:pt idx="10">
                  <c:v>1.9090910000000001</c:v>
                </c:pt>
                <c:pt idx="11">
                  <c:v>2</c:v>
                </c:pt>
                <c:pt idx="12">
                  <c:v>2.0909089999999999</c:v>
                </c:pt>
                <c:pt idx="13">
                  <c:v>2.1818179999999998</c:v>
                </c:pt>
                <c:pt idx="14">
                  <c:v>2.2727270000000002</c:v>
                </c:pt>
                <c:pt idx="15">
                  <c:v>2.3636360000000001</c:v>
                </c:pt>
                <c:pt idx="16">
                  <c:v>2.454545</c:v>
                </c:pt>
                <c:pt idx="17">
                  <c:v>2.545455</c:v>
                </c:pt>
                <c:pt idx="18">
                  <c:v>2.6363639999999999</c:v>
                </c:pt>
                <c:pt idx="19">
                  <c:v>2.7272729999999998</c:v>
                </c:pt>
                <c:pt idx="20">
                  <c:v>2.8181820000000002</c:v>
                </c:pt>
                <c:pt idx="21">
                  <c:v>2.9090910000000001</c:v>
                </c:pt>
                <c:pt idx="22">
                  <c:v>3</c:v>
                </c:pt>
                <c:pt idx="23">
                  <c:v>3.0909089999999999</c:v>
                </c:pt>
                <c:pt idx="24">
                  <c:v>3.1818179999999998</c:v>
                </c:pt>
                <c:pt idx="25">
                  <c:v>3.2727270000000002</c:v>
                </c:pt>
                <c:pt idx="26">
                  <c:v>3.3636360000000001</c:v>
                </c:pt>
                <c:pt idx="27">
                  <c:v>3.454545</c:v>
                </c:pt>
                <c:pt idx="28">
                  <c:v>3.545455</c:v>
                </c:pt>
                <c:pt idx="29">
                  <c:v>3.6363639999999999</c:v>
                </c:pt>
                <c:pt idx="30">
                  <c:v>3.7272729999999998</c:v>
                </c:pt>
                <c:pt idx="31">
                  <c:v>3.8181820000000002</c:v>
                </c:pt>
                <c:pt idx="32">
                  <c:v>3.9090910000000001</c:v>
                </c:pt>
                <c:pt idx="33">
                  <c:v>4</c:v>
                </c:pt>
                <c:pt idx="34">
                  <c:v>4.0909089999999999</c:v>
                </c:pt>
                <c:pt idx="35">
                  <c:v>4.1818179999999998</c:v>
                </c:pt>
                <c:pt idx="36">
                  <c:v>4.2727269999999997</c:v>
                </c:pt>
                <c:pt idx="37">
                  <c:v>4.3636359999999996</c:v>
                </c:pt>
                <c:pt idx="38">
                  <c:v>4.4545450000000004</c:v>
                </c:pt>
                <c:pt idx="39">
                  <c:v>4.5454549999999996</c:v>
                </c:pt>
                <c:pt idx="40">
                  <c:v>4.6363640000000004</c:v>
                </c:pt>
                <c:pt idx="41">
                  <c:v>4.7272730000000003</c:v>
                </c:pt>
                <c:pt idx="42">
                  <c:v>4.8181820000000002</c:v>
                </c:pt>
                <c:pt idx="43">
                  <c:v>4.9090910000000001</c:v>
                </c:pt>
                <c:pt idx="44">
                  <c:v>5</c:v>
                </c:pt>
                <c:pt idx="45">
                  <c:v>5.0909089999999999</c:v>
                </c:pt>
                <c:pt idx="46">
                  <c:v>5.1818179999999998</c:v>
                </c:pt>
                <c:pt idx="47">
                  <c:v>5.2727269999999997</c:v>
                </c:pt>
                <c:pt idx="48">
                  <c:v>5.3636359999999996</c:v>
                </c:pt>
                <c:pt idx="49">
                  <c:v>5.4545450000000004</c:v>
                </c:pt>
                <c:pt idx="50">
                  <c:v>5.5454549999999996</c:v>
                </c:pt>
                <c:pt idx="51">
                  <c:v>5.6363640000000004</c:v>
                </c:pt>
                <c:pt idx="52">
                  <c:v>5.7272730000000003</c:v>
                </c:pt>
                <c:pt idx="53">
                  <c:v>5.8181820000000002</c:v>
                </c:pt>
                <c:pt idx="54">
                  <c:v>5.9090910000000001</c:v>
                </c:pt>
                <c:pt idx="55">
                  <c:v>6</c:v>
                </c:pt>
                <c:pt idx="56">
                  <c:v>6.0909089999999999</c:v>
                </c:pt>
                <c:pt idx="57">
                  <c:v>6.1818179999999998</c:v>
                </c:pt>
                <c:pt idx="58">
                  <c:v>6.2727269999999997</c:v>
                </c:pt>
                <c:pt idx="59">
                  <c:v>6.3636359999999996</c:v>
                </c:pt>
                <c:pt idx="60">
                  <c:v>6.4545450000000004</c:v>
                </c:pt>
                <c:pt idx="61">
                  <c:v>6.5454549999999996</c:v>
                </c:pt>
                <c:pt idx="62">
                  <c:v>6.6363640000000004</c:v>
                </c:pt>
                <c:pt idx="63">
                  <c:v>6.7272730000000003</c:v>
                </c:pt>
                <c:pt idx="64">
                  <c:v>6.8181820000000002</c:v>
                </c:pt>
                <c:pt idx="65">
                  <c:v>6.9090910000000001</c:v>
                </c:pt>
                <c:pt idx="66">
                  <c:v>7</c:v>
                </c:pt>
                <c:pt idx="67">
                  <c:v>7.0909089999999999</c:v>
                </c:pt>
                <c:pt idx="68">
                  <c:v>7.1818179999999998</c:v>
                </c:pt>
                <c:pt idx="69">
                  <c:v>7.2727269999999997</c:v>
                </c:pt>
                <c:pt idx="70">
                  <c:v>7.3636359999999996</c:v>
                </c:pt>
                <c:pt idx="71">
                  <c:v>7.4545450000000004</c:v>
                </c:pt>
                <c:pt idx="72">
                  <c:v>7.5454549999999996</c:v>
                </c:pt>
                <c:pt idx="73">
                  <c:v>7.6363640000000004</c:v>
                </c:pt>
                <c:pt idx="74">
                  <c:v>7.7272730000000003</c:v>
                </c:pt>
                <c:pt idx="75">
                  <c:v>7.8181820000000002</c:v>
                </c:pt>
                <c:pt idx="76">
                  <c:v>7.9090910000000001</c:v>
                </c:pt>
                <c:pt idx="77">
                  <c:v>8</c:v>
                </c:pt>
                <c:pt idx="78">
                  <c:v>8.0909089999999999</c:v>
                </c:pt>
                <c:pt idx="79">
                  <c:v>8.1818179999999998</c:v>
                </c:pt>
                <c:pt idx="80">
                  <c:v>8.2727269999999997</c:v>
                </c:pt>
                <c:pt idx="81">
                  <c:v>8.3636359999999996</c:v>
                </c:pt>
                <c:pt idx="82">
                  <c:v>8.4545449999999995</c:v>
                </c:pt>
                <c:pt idx="83">
                  <c:v>8.5454550000000005</c:v>
                </c:pt>
                <c:pt idx="84">
                  <c:v>8.6363640000000004</c:v>
                </c:pt>
                <c:pt idx="85">
                  <c:v>8.7272730000000003</c:v>
                </c:pt>
                <c:pt idx="86">
                  <c:v>8.8181820000000002</c:v>
                </c:pt>
                <c:pt idx="87">
                  <c:v>8.9090910000000001</c:v>
                </c:pt>
                <c:pt idx="88">
                  <c:v>9</c:v>
                </c:pt>
                <c:pt idx="89">
                  <c:v>9.0909089999999999</c:v>
                </c:pt>
                <c:pt idx="90">
                  <c:v>9.1818179999999998</c:v>
                </c:pt>
                <c:pt idx="91">
                  <c:v>9.2727269999999997</c:v>
                </c:pt>
                <c:pt idx="92">
                  <c:v>9.3636359999999996</c:v>
                </c:pt>
                <c:pt idx="93">
                  <c:v>9.4545449999999995</c:v>
                </c:pt>
                <c:pt idx="94">
                  <c:v>9.5454550000000005</c:v>
                </c:pt>
                <c:pt idx="95">
                  <c:v>9.6363640000000004</c:v>
                </c:pt>
                <c:pt idx="96">
                  <c:v>9.7272730000000003</c:v>
                </c:pt>
                <c:pt idx="97">
                  <c:v>9.8181820000000002</c:v>
                </c:pt>
                <c:pt idx="98">
                  <c:v>9.9090910000000001</c:v>
                </c:pt>
                <c:pt idx="99">
                  <c:v>10</c:v>
                </c:pt>
              </c:numCache>
            </c:numRef>
          </c:cat>
          <c:val>
            <c:numRef>
              <c:f>Pareto!$E$9:$E$108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CB-4D90-9140-836CECC40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Pareto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Pareto!$F$8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Pareto!$D$9:$D$108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1.0909089999999999</c:v>
                </c:pt>
                <c:pt idx="2">
                  <c:v>1.181818</c:v>
                </c:pt>
                <c:pt idx="3">
                  <c:v>1.2727269999999999</c:v>
                </c:pt>
                <c:pt idx="4">
                  <c:v>1.3636360000000001</c:v>
                </c:pt>
                <c:pt idx="5">
                  <c:v>1.454545</c:v>
                </c:pt>
                <c:pt idx="6">
                  <c:v>1.545455</c:v>
                </c:pt>
                <c:pt idx="7">
                  <c:v>1.6363639999999999</c:v>
                </c:pt>
                <c:pt idx="8">
                  <c:v>1.7272730000000001</c:v>
                </c:pt>
                <c:pt idx="9">
                  <c:v>1.818182</c:v>
                </c:pt>
                <c:pt idx="10">
                  <c:v>1.9090910000000001</c:v>
                </c:pt>
                <c:pt idx="11">
                  <c:v>2</c:v>
                </c:pt>
                <c:pt idx="12">
                  <c:v>2.0909089999999999</c:v>
                </c:pt>
                <c:pt idx="13">
                  <c:v>2.1818179999999998</c:v>
                </c:pt>
                <c:pt idx="14">
                  <c:v>2.2727270000000002</c:v>
                </c:pt>
                <c:pt idx="15">
                  <c:v>2.3636360000000001</c:v>
                </c:pt>
                <c:pt idx="16">
                  <c:v>2.454545</c:v>
                </c:pt>
                <c:pt idx="17">
                  <c:v>2.545455</c:v>
                </c:pt>
                <c:pt idx="18">
                  <c:v>2.6363639999999999</c:v>
                </c:pt>
                <c:pt idx="19">
                  <c:v>2.7272729999999998</c:v>
                </c:pt>
                <c:pt idx="20">
                  <c:v>2.8181820000000002</c:v>
                </c:pt>
                <c:pt idx="21">
                  <c:v>2.9090910000000001</c:v>
                </c:pt>
                <c:pt idx="22">
                  <c:v>3</c:v>
                </c:pt>
                <c:pt idx="23">
                  <c:v>3.0909089999999999</c:v>
                </c:pt>
                <c:pt idx="24">
                  <c:v>3.1818179999999998</c:v>
                </c:pt>
                <c:pt idx="25">
                  <c:v>3.2727270000000002</c:v>
                </c:pt>
                <c:pt idx="26">
                  <c:v>3.3636360000000001</c:v>
                </c:pt>
                <c:pt idx="27">
                  <c:v>3.454545</c:v>
                </c:pt>
                <c:pt idx="28">
                  <c:v>3.545455</c:v>
                </c:pt>
                <c:pt idx="29">
                  <c:v>3.6363639999999999</c:v>
                </c:pt>
                <c:pt idx="30">
                  <c:v>3.7272729999999998</c:v>
                </c:pt>
                <c:pt idx="31">
                  <c:v>3.8181820000000002</c:v>
                </c:pt>
                <c:pt idx="32">
                  <c:v>3.9090910000000001</c:v>
                </c:pt>
                <c:pt idx="33">
                  <c:v>4</c:v>
                </c:pt>
                <c:pt idx="34">
                  <c:v>4.0909089999999999</c:v>
                </c:pt>
                <c:pt idx="35">
                  <c:v>4.1818179999999998</c:v>
                </c:pt>
                <c:pt idx="36">
                  <c:v>4.2727269999999997</c:v>
                </c:pt>
                <c:pt idx="37">
                  <c:v>4.3636359999999996</c:v>
                </c:pt>
                <c:pt idx="38">
                  <c:v>4.4545450000000004</c:v>
                </c:pt>
                <c:pt idx="39">
                  <c:v>4.5454549999999996</c:v>
                </c:pt>
                <c:pt idx="40">
                  <c:v>4.6363640000000004</c:v>
                </c:pt>
                <c:pt idx="41">
                  <c:v>4.7272730000000003</c:v>
                </c:pt>
                <c:pt idx="42">
                  <c:v>4.8181820000000002</c:v>
                </c:pt>
                <c:pt idx="43">
                  <c:v>4.9090910000000001</c:v>
                </c:pt>
                <c:pt idx="44">
                  <c:v>5</c:v>
                </c:pt>
                <c:pt idx="45">
                  <c:v>5.0909089999999999</c:v>
                </c:pt>
                <c:pt idx="46">
                  <c:v>5.1818179999999998</c:v>
                </c:pt>
                <c:pt idx="47">
                  <c:v>5.2727269999999997</c:v>
                </c:pt>
                <c:pt idx="48">
                  <c:v>5.3636359999999996</c:v>
                </c:pt>
                <c:pt idx="49">
                  <c:v>5.4545450000000004</c:v>
                </c:pt>
                <c:pt idx="50">
                  <c:v>5.5454549999999996</c:v>
                </c:pt>
                <c:pt idx="51">
                  <c:v>5.6363640000000004</c:v>
                </c:pt>
                <c:pt idx="52">
                  <c:v>5.7272730000000003</c:v>
                </c:pt>
                <c:pt idx="53">
                  <c:v>5.8181820000000002</c:v>
                </c:pt>
                <c:pt idx="54">
                  <c:v>5.9090910000000001</c:v>
                </c:pt>
                <c:pt idx="55">
                  <c:v>6</c:v>
                </c:pt>
                <c:pt idx="56">
                  <c:v>6.0909089999999999</c:v>
                </c:pt>
                <c:pt idx="57">
                  <c:v>6.1818179999999998</c:v>
                </c:pt>
                <c:pt idx="58">
                  <c:v>6.2727269999999997</c:v>
                </c:pt>
                <c:pt idx="59">
                  <c:v>6.3636359999999996</c:v>
                </c:pt>
                <c:pt idx="60">
                  <c:v>6.4545450000000004</c:v>
                </c:pt>
                <c:pt idx="61">
                  <c:v>6.5454549999999996</c:v>
                </c:pt>
                <c:pt idx="62">
                  <c:v>6.6363640000000004</c:v>
                </c:pt>
                <c:pt idx="63">
                  <c:v>6.7272730000000003</c:v>
                </c:pt>
                <c:pt idx="64">
                  <c:v>6.8181820000000002</c:v>
                </c:pt>
                <c:pt idx="65">
                  <c:v>6.9090910000000001</c:v>
                </c:pt>
                <c:pt idx="66">
                  <c:v>7</c:v>
                </c:pt>
                <c:pt idx="67">
                  <c:v>7.0909089999999999</c:v>
                </c:pt>
                <c:pt idx="68">
                  <c:v>7.1818179999999998</c:v>
                </c:pt>
                <c:pt idx="69">
                  <c:v>7.2727269999999997</c:v>
                </c:pt>
                <c:pt idx="70">
                  <c:v>7.3636359999999996</c:v>
                </c:pt>
                <c:pt idx="71">
                  <c:v>7.4545450000000004</c:v>
                </c:pt>
                <c:pt idx="72">
                  <c:v>7.5454549999999996</c:v>
                </c:pt>
                <c:pt idx="73">
                  <c:v>7.6363640000000004</c:v>
                </c:pt>
                <c:pt idx="74">
                  <c:v>7.7272730000000003</c:v>
                </c:pt>
                <c:pt idx="75">
                  <c:v>7.8181820000000002</c:v>
                </c:pt>
                <c:pt idx="76">
                  <c:v>7.9090910000000001</c:v>
                </c:pt>
                <c:pt idx="77">
                  <c:v>8</c:v>
                </c:pt>
                <c:pt idx="78">
                  <c:v>8.0909089999999999</c:v>
                </c:pt>
                <c:pt idx="79">
                  <c:v>8.1818179999999998</c:v>
                </c:pt>
                <c:pt idx="80">
                  <c:v>8.2727269999999997</c:v>
                </c:pt>
                <c:pt idx="81">
                  <c:v>8.3636359999999996</c:v>
                </c:pt>
                <c:pt idx="82">
                  <c:v>8.4545449999999995</c:v>
                </c:pt>
                <c:pt idx="83">
                  <c:v>8.5454550000000005</c:v>
                </c:pt>
                <c:pt idx="84">
                  <c:v>8.6363640000000004</c:v>
                </c:pt>
                <c:pt idx="85">
                  <c:v>8.7272730000000003</c:v>
                </c:pt>
                <c:pt idx="86">
                  <c:v>8.8181820000000002</c:v>
                </c:pt>
                <c:pt idx="87">
                  <c:v>8.9090910000000001</c:v>
                </c:pt>
                <c:pt idx="88">
                  <c:v>9</c:v>
                </c:pt>
                <c:pt idx="89">
                  <c:v>9.0909089999999999</c:v>
                </c:pt>
                <c:pt idx="90">
                  <c:v>9.1818179999999998</c:v>
                </c:pt>
                <c:pt idx="91">
                  <c:v>9.2727269999999997</c:v>
                </c:pt>
                <c:pt idx="92">
                  <c:v>9.3636359999999996</c:v>
                </c:pt>
                <c:pt idx="93">
                  <c:v>9.4545449999999995</c:v>
                </c:pt>
                <c:pt idx="94">
                  <c:v>9.5454550000000005</c:v>
                </c:pt>
                <c:pt idx="95">
                  <c:v>9.6363640000000004</c:v>
                </c:pt>
                <c:pt idx="96">
                  <c:v>9.7272730000000003</c:v>
                </c:pt>
                <c:pt idx="97">
                  <c:v>9.8181820000000002</c:v>
                </c:pt>
                <c:pt idx="98">
                  <c:v>9.9090910000000001</c:v>
                </c:pt>
                <c:pt idx="99">
                  <c:v>10</c:v>
                </c:pt>
              </c:numCache>
            </c:numRef>
          </c:cat>
          <c:val>
            <c:numRef>
              <c:f>Pareto!$F$9:$F$108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17-405A-997A-D322F9D40C45}"/>
            </c:ext>
          </c:extLst>
        </c:ser>
        <c:ser>
          <c:idx val="1"/>
          <c:order val="1"/>
          <c:tx>
            <c:strRef>
              <c:f>Pareto!$G$8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Pareto!$D$9:$D$108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1.0909089999999999</c:v>
                </c:pt>
                <c:pt idx="2">
                  <c:v>1.181818</c:v>
                </c:pt>
                <c:pt idx="3">
                  <c:v>1.2727269999999999</c:v>
                </c:pt>
                <c:pt idx="4">
                  <c:v>1.3636360000000001</c:v>
                </c:pt>
                <c:pt idx="5">
                  <c:v>1.454545</c:v>
                </c:pt>
                <c:pt idx="6">
                  <c:v>1.545455</c:v>
                </c:pt>
                <c:pt idx="7">
                  <c:v>1.6363639999999999</c:v>
                </c:pt>
                <c:pt idx="8">
                  <c:v>1.7272730000000001</c:v>
                </c:pt>
                <c:pt idx="9">
                  <c:v>1.818182</c:v>
                </c:pt>
                <c:pt idx="10">
                  <c:v>1.9090910000000001</c:v>
                </c:pt>
                <c:pt idx="11">
                  <c:v>2</c:v>
                </c:pt>
                <c:pt idx="12">
                  <c:v>2.0909089999999999</c:v>
                </c:pt>
                <c:pt idx="13">
                  <c:v>2.1818179999999998</c:v>
                </c:pt>
                <c:pt idx="14">
                  <c:v>2.2727270000000002</c:v>
                </c:pt>
                <c:pt idx="15">
                  <c:v>2.3636360000000001</c:v>
                </c:pt>
                <c:pt idx="16">
                  <c:v>2.454545</c:v>
                </c:pt>
                <c:pt idx="17">
                  <c:v>2.545455</c:v>
                </c:pt>
                <c:pt idx="18">
                  <c:v>2.6363639999999999</c:v>
                </c:pt>
                <c:pt idx="19">
                  <c:v>2.7272729999999998</c:v>
                </c:pt>
                <c:pt idx="20">
                  <c:v>2.8181820000000002</c:v>
                </c:pt>
                <c:pt idx="21">
                  <c:v>2.9090910000000001</c:v>
                </c:pt>
                <c:pt idx="22">
                  <c:v>3</c:v>
                </c:pt>
                <c:pt idx="23">
                  <c:v>3.0909089999999999</c:v>
                </c:pt>
                <c:pt idx="24">
                  <c:v>3.1818179999999998</c:v>
                </c:pt>
                <c:pt idx="25">
                  <c:v>3.2727270000000002</c:v>
                </c:pt>
                <c:pt idx="26">
                  <c:v>3.3636360000000001</c:v>
                </c:pt>
                <c:pt idx="27">
                  <c:v>3.454545</c:v>
                </c:pt>
                <c:pt idx="28">
                  <c:v>3.545455</c:v>
                </c:pt>
                <c:pt idx="29">
                  <c:v>3.6363639999999999</c:v>
                </c:pt>
                <c:pt idx="30">
                  <c:v>3.7272729999999998</c:v>
                </c:pt>
                <c:pt idx="31">
                  <c:v>3.8181820000000002</c:v>
                </c:pt>
                <c:pt idx="32">
                  <c:v>3.9090910000000001</c:v>
                </c:pt>
                <c:pt idx="33">
                  <c:v>4</c:v>
                </c:pt>
                <c:pt idx="34">
                  <c:v>4.0909089999999999</c:v>
                </c:pt>
                <c:pt idx="35">
                  <c:v>4.1818179999999998</c:v>
                </c:pt>
                <c:pt idx="36">
                  <c:v>4.2727269999999997</c:v>
                </c:pt>
                <c:pt idx="37">
                  <c:v>4.3636359999999996</c:v>
                </c:pt>
                <c:pt idx="38">
                  <c:v>4.4545450000000004</c:v>
                </c:pt>
                <c:pt idx="39">
                  <c:v>4.5454549999999996</c:v>
                </c:pt>
                <c:pt idx="40">
                  <c:v>4.6363640000000004</c:v>
                </c:pt>
                <c:pt idx="41">
                  <c:v>4.7272730000000003</c:v>
                </c:pt>
                <c:pt idx="42">
                  <c:v>4.8181820000000002</c:v>
                </c:pt>
                <c:pt idx="43">
                  <c:v>4.9090910000000001</c:v>
                </c:pt>
                <c:pt idx="44">
                  <c:v>5</c:v>
                </c:pt>
                <c:pt idx="45">
                  <c:v>5.0909089999999999</c:v>
                </c:pt>
                <c:pt idx="46">
                  <c:v>5.1818179999999998</c:v>
                </c:pt>
                <c:pt idx="47">
                  <c:v>5.2727269999999997</c:v>
                </c:pt>
                <c:pt idx="48">
                  <c:v>5.3636359999999996</c:v>
                </c:pt>
                <c:pt idx="49">
                  <c:v>5.4545450000000004</c:v>
                </c:pt>
                <c:pt idx="50">
                  <c:v>5.5454549999999996</c:v>
                </c:pt>
                <c:pt idx="51">
                  <c:v>5.6363640000000004</c:v>
                </c:pt>
                <c:pt idx="52">
                  <c:v>5.7272730000000003</c:v>
                </c:pt>
                <c:pt idx="53">
                  <c:v>5.8181820000000002</c:v>
                </c:pt>
                <c:pt idx="54">
                  <c:v>5.9090910000000001</c:v>
                </c:pt>
                <c:pt idx="55">
                  <c:v>6</c:v>
                </c:pt>
                <c:pt idx="56">
                  <c:v>6.0909089999999999</c:v>
                </c:pt>
                <c:pt idx="57">
                  <c:v>6.1818179999999998</c:v>
                </c:pt>
                <c:pt idx="58">
                  <c:v>6.2727269999999997</c:v>
                </c:pt>
                <c:pt idx="59">
                  <c:v>6.3636359999999996</c:v>
                </c:pt>
                <c:pt idx="60">
                  <c:v>6.4545450000000004</c:v>
                </c:pt>
                <c:pt idx="61">
                  <c:v>6.5454549999999996</c:v>
                </c:pt>
                <c:pt idx="62">
                  <c:v>6.6363640000000004</c:v>
                </c:pt>
                <c:pt idx="63">
                  <c:v>6.7272730000000003</c:v>
                </c:pt>
                <c:pt idx="64">
                  <c:v>6.8181820000000002</c:v>
                </c:pt>
                <c:pt idx="65">
                  <c:v>6.9090910000000001</c:v>
                </c:pt>
                <c:pt idx="66">
                  <c:v>7</c:v>
                </c:pt>
                <c:pt idx="67">
                  <c:v>7.0909089999999999</c:v>
                </c:pt>
                <c:pt idx="68">
                  <c:v>7.1818179999999998</c:v>
                </c:pt>
                <c:pt idx="69">
                  <c:v>7.2727269999999997</c:v>
                </c:pt>
                <c:pt idx="70">
                  <c:v>7.3636359999999996</c:v>
                </c:pt>
                <c:pt idx="71">
                  <c:v>7.4545450000000004</c:v>
                </c:pt>
                <c:pt idx="72">
                  <c:v>7.5454549999999996</c:v>
                </c:pt>
                <c:pt idx="73">
                  <c:v>7.6363640000000004</c:v>
                </c:pt>
                <c:pt idx="74">
                  <c:v>7.7272730000000003</c:v>
                </c:pt>
                <c:pt idx="75">
                  <c:v>7.8181820000000002</c:v>
                </c:pt>
                <c:pt idx="76">
                  <c:v>7.9090910000000001</c:v>
                </c:pt>
                <c:pt idx="77">
                  <c:v>8</c:v>
                </c:pt>
                <c:pt idx="78">
                  <c:v>8.0909089999999999</c:v>
                </c:pt>
                <c:pt idx="79">
                  <c:v>8.1818179999999998</c:v>
                </c:pt>
                <c:pt idx="80">
                  <c:v>8.2727269999999997</c:v>
                </c:pt>
                <c:pt idx="81">
                  <c:v>8.3636359999999996</c:v>
                </c:pt>
                <c:pt idx="82">
                  <c:v>8.4545449999999995</c:v>
                </c:pt>
                <c:pt idx="83">
                  <c:v>8.5454550000000005</c:v>
                </c:pt>
                <c:pt idx="84">
                  <c:v>8.6363640000000004</c:v>
                </c:pt>
                <c:pt idx="85">
                  <c:v>8.7272730000000003</c:v>
                </c:pt>
                <c:pt idx="86">
                  <c:v>8.8181820000000002</c:v>
                </c:pt>
                <c:pt idx="87">
                  <c:v>8.9090910000000001</c:v>
                </c:pt>
                <c:pt idx="88">
                  <c:v>9</c:v>
                </c:pt>
                <c:pt idx="89">
                  <c:v>9.0909089999999999</c:v>
                </c:pt>
                <c:pt idx="90">
                  <c:v>9.1818179999999998</c:v>
                </c:pt>
                <c:pt idx="91">
                  <c:v>9.2727269999999997</c:v>
                </c:pt>
                <c:pt idx="92">
                  <c:v>9.3636359999999996</c:v>
                </c:pt>
                <c:pt idx="93">
                  <c:v>9.4545449999999995</c:v>
                </c:pt>
                <c:pt idx="94">
                  <c:v>9.5454550000000005</c:v>
                </c:pt>
                <c:pt idx="95">
                  <c:v>9.6363640000000004</c:v>
                </c:pt>
                <c:pt idx="96">
                  <c:v>9.7272730000000003</c:v>
                </c:pt>
                <c:pt idx="97">
                  <c:v>9.8181820000000002</c:v>
                </c:pt>
                <c:pt idx="98">
                  <c:v>9.9090910000000001</c:v>
                </c:pt>
                <c:pt idx="99">
                  <c:v>10</c:v>
                </c:pt>
              </c:numCache>
            </c:numRef>
          </c:cat>
          <c:val>
            <c:numRef>
              <c:f>Pareto!$G$9:$G$108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17-405A-997A-D322F9D4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GPD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GPD!$E$8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GPD!$D$9:$D$108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1.1414139999999999</c:v>
                </c:pt>
                <c:pt idx="2">
                  <c:v>1.2828280000000001</c:v>
                </c:pt>
                <c:pt idx="3">
                  <c:v>1.424242</c:v>
                </c:pt>
                <c:pt idx="4">
                  <c:v>1.5656570000000001</c:v>
                </c:pt>
                <c:pt idx="5">
                  <c:v>1.707071</c:v>
                </c:pt>
                <c:pt idx="6">
                  <c:v>1.8484849999999999</c:v>
                </c:pt>
                <c:pt idx="7">
                  <c:v>1.9898990000000001</c:v>
                </c:pt>
                <c:pt idx="8">
                  <c:v>2.131313</c:v>
                </c:pt>
                <c:pt idx="9">
                  <c:v>2.2727270000000002</c:v>
                </c:pt>
                <c:pt idx="10">
                  <c:v>2.4141409999999999</c:v>
                </c:pt>
                <c:pt idx="11">
                  <c:v>2.5555560000000002</c:v>
                </c:pt>
                <c:pt idx="12">
                  <c:v>2.6969699999999999</c:v>
                </c:pt>
                <c:pt idx="13">
                  <c:v>2.838384</c:v>
                </c:pt>
                <c:pt idx="14">
                  <c:v>2.9797980000000002</c:v>
                </c:pt>
                <c:pt idx="15">
                  <c:v>3.1212119999999999</c:v>
                </c:pt>
                <c:pt idx="16">
                  <c:v>3.262626</c:v>
                </c:pt>
                <c:pt idx="17">
                  <c:v>3.4040400000000002</c:v>
                </c:pt>
                <c:pt idx="18">
                  <c:v>3.545455</c:v>
                </c:pt>
                <c:pt idx="19">
                  <c:v>3.6868690000000002</c:v>
                </c:pt>
                <c:pt idx="20">
                  <c:v>3.8282829999999999</c:v>
                </c:pt>
                <c:pt idx="21">
                  <c:v>3.969697</c:v>
                </c:pt>
                <c:pt idx="22">
                  <c:v>4.1111110000000002</c:v>
                </c:pt>
                <c:pt idx="23">
                  <c:v>4.2525250000000003</c:v>
                </c:pt>
                <c:pt idx="24">
                  <c:v>4.3939389999999996</c:v>
                </c:pt>
                <c:pt idx="25">
                  <c:v>4.5353539999999999</c:v>
                </c:pt>
                <c:pt idx="26">
                  <c:v>4.676768</c:v>
                </c:pt>
                <c:pt idx="27">
                  <c:v>4.8181820000000002</c:v>
                </c:pt>
                <c:pt idx="28">
                  <c:v>4.9595960000000003</c:v>
                </c:pt>
                <c:pt idx="29">
                  <c:v>5.1010099999999996</c:v>
                </c:pt>
                <c:pt idx="30">
                  <c:v>5.2424239999999998</c:v>
                </c:pt>
                <c:pt idx="31">
                  <c:v>5.3838379999999999</c:v>
                </c:pt>
                <c:pt idx="32">
                  <c:v>5.5252530000000002</c:v>
                </c:pt>
                <c:pt idx="33">
                  <c:v>5.6666670000000003</c:v>
                </c:pt>
                <c:pt idx="34">
                  <c:v>5.8080809999999996</c:v>
                </c:pt>
                <c:pt idx="35">
                  <c:v>5.9494949999999998</c:v>
                </c:pt>
                <c:pt idx="36">
                  <c:v>6.0909089999999999</c:v>
                </c:pt>
                <c:pt idx="37">
                  <c:v>6.2323230000000001</c:v>
                </c:pt>
                <c:pt idx="38">
                  <c:v>6.3737370000000002</c:v>
                </c:pt>
                <c:pt idx="39">
                  <c:v>6.5151519999999996</c:v>
                </c:pt>
                <c:pt idx="40">
                  <c:v>6.6565659999999998</c:v>
                </c:pt>
                <c:pt idx="41">
                  <c:v>6.7979799999999999</c:v>
                </c:pt>
                <c:pt idx="42">
                  <c:v>6.9393940000000001</c:v>
                </c:pt>
                <c:pt idx="43">
                  <c:v>7.0808080000000002</c:v>
                </c:pt>
                <c:pt idx="44">
                  <c:v>7.2222220000000004</c:v>
                </c:pt>
                <c:pt idx="45">
                  <c:v>7.3636359999999996</c:v>
                </c:pt>
                <c:pt idx="46">
                  <c:v>7.5050509999999999</c:v>
                </c:pt>
                <c:pt idx="47">
                  <c:v>7.6464650000000001</c:v>
                </c:pt>
                <c:pt idx="48">
                  <c:v>7.7878790000000002</c:v>
                </c:pt>
                <c:pt idx="49">
                  <c:v>7.9292930000000004</c:v>
                </c:pt>
                <c:pt idx="50">
                  <c:v>8.0707070000000005</c:v>
                </c:pt>
                <c:pt idx="51">
                  <c:v>8.2121209999999998</c:v>
                </c:pt>
                <c:pt idx="52">
                  <c:v>8.3535350000000008</c:v>
                </c:pt>
                <c:pt idx="53">
                  <c:v>8.4949490000000001</c:v>
                </c:pt>
                <c:pt idx="54">
                  <c:v>8.6363640000000004</c:v>
                </c:pt>
                <c:pt idx="55">
                  <c:v>8.7777779999999996</c:v>
                </c:pt>
                <c:pt idx="56">
                  <c:v>8.9191920000000007</c:v>
                </c:pt>
                <c:pt idx="57">
                  <c:v>9.0606059999999999</c:v>
                </c:pt>
                <c:pt idx="58">
                  <c:v>9.2020199999999992</c:v>
                </c:pt>
                <c:pt idx="59">
                  <c:v>9.3434340000000002</c:v>
                </c:pt>
                <c:pt idx="60">
                  <c:v>9.4848479999999995</c:v>
                </c:pt>
                <c:pt idx="61">
                  <c:v>9.6262629999999998</c:v>
                </c:pt>
                <c:pt idx="62">
                  <c:v>9.7676770000000008</c:v>
                </c:pt>
                <c:pt idx="63">
                  <c:v>9.9090910000000001</c:v>
                </c:pt>
                <c:pt idx="64">
                  <c:v>10.050504999999999</c:v>
                </c:pt>
                <c:pt idx="65">
                  <c:v>10.191919</c:v>
                </c:pt>
                <c:pt idx="66">
                  <c:v>10.333333</c:v>
                </c:pt>
                <c:pt idx="67">
                  <c:v>10.474747000000001</c:v>
                </c:pt>
                <c:pt idx="68">
                  <c:v>10.616161999999999</c:v>
                </c:pt>
                <c:pt idx="69">
                  <c:v>10.757576</c:v>
                </c:pt>
                <c:pt idx="70">
                  <c:v>10.89899</c:v>
                </c:pt>
                <c:pt idx="71">
                  <c:v>11.040404000000001</c:v>
                </c:pt>
                <c:pt idx="72">
                  <c:v>11.181818</c:v>
                </c:pt>
                <c:pt idx="73">
                  <c:v>11.323232000000001</c:v>
                </c:pt>
                <c:pt idx="74">
                  <c:v>11.464646</c:v>
                </c:pt>
                <c:pt idx="75">
                  <c:v>11.606061</c:v>
                </c:pt>
                <c:pt idx="76">
                  <c:v>11.747475</c:v>
                </c:pt>
                <c:pt idx="77">
                  <c:v>11.888889000000001</c:v>
                </c:pt>
                <c:pt idx="78">
                  <c:v>12.030303</c:v>
                </c:pt>
                <c:pt idx="79">
                  <c:v>12.171716999999999</c:v>
                </c:pt>
                <c:pt idx="80">
                  <c:v>12.313131</c:v>
                </c:pt>
                <c:pt idx="81">
                  <c:v>12.454545</c:v>
                </c:pt>
                <c:pt idx="82">
                  <c:v>12.59596</c:v>
                </c:pt>
                <c:pt idx="83">
                  <c:v>12.737374000000001</c:v>
                </c:pt>
                <c:pt idx="84">
                  <c:v>12.878788</c:v>
                </c:pt>
                <c:pt idx="85">
                  <c:v>13.020201999999999</c:v>
                </c:pt>
                <c:pt idx="86">
                  <c:v>13.161616</c:v>
                </c:pt>
                <c:pt idx="87">
                  <c:v>13.30303</c:v>
                </c:pt>
                <c:pt idx="88">
                  <c:v>13.444444000000001</c:v>
                </c:pt>
                <c:pt idx="89">
                  <c:v>13.585858999999999</c:v>
                </c:pt>
                <c:pt idx="90">
                  <c:v>13.727273</c:v>
                </c:pt>
                <c:pt idx="91">
                  <c:v>13.868687</c:v>
                </c:pt>
                <c:pt idx="92">
                  <c:v>14.010101000000001</c:v>
                </c:pt>
                <c:pt idx="93">
                  <c:v>14.151515</c:v>
                </c:pt>
                <c:pt idx="94">
                  <c:v>14.292929000000001</c:v>
                </c:pt>
                <c:pt idx="95">
                  <c:v>14.434343</c:v>
                </c:pt>
                <c:pt idx="96">
                  <c:v>14.575758</c:v>
                </c:pt>
                <c:pt idx="97">
                  <c:v>14.717172</c:v>
                </c:pt>
                <c:pt idx="98">
                  <c:v>14.858586000000001</c:v>
                </c:pt>
                <c:pt idx="99">
                  <c:v>15</c:v>
                </c:pt>
              </c:numCache>
            </c:numRef>
          </c:cat>
          <c:val>
            <c:numRef>
              <c:f>GPD!$E$9:$E$108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F5-4A26-A9B2-760BE77C9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GPD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GPD!$F$8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GPD!$D$9:$D$108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1.1414139999999999</c:v>
                </c:pt>
                <c:pt idx="2">
                  <c:v>1.2828280000000001</c:v>
                </c:pt>
                <c:pt idx="3">
                  <c:v>1.424242</c:v>
                </c:pt>
                <c:pt idx="4">
                  <c:v>1.5656570000000001</c:v>
                </c:pt>
                <c:pt idx="5">
                  <c:v>1.707071</c:v>
                </c:pt>
                <c:pt idx="6">
                  <c:v>1.8484849999999999</c:v>
                </c:pt>
                <c:pt idx="7">
                  <c:v>1.9898990000000001</c:v>
                </c:pt>
                <c:pt idx="8">
                  <c:v>2.131313</c:v>
                </c:pt>
                <c:pt idx="9">
                  <c:v>2.2727270000000002</c:v>
                </c:pt>
                <c:pt idx="10">
                  <c:v>2.4141409999999999</c:v>
                </c:pt>
                <c:pt idx="11">
                  <c:v>2.5555560000000002</c:v>
                </c:pt>
                <c:pt idx="12">
                  <c:v>2.6969699999999999</c:v>
                </c:pt>
                <c:pt idx="13">
                  <c:v>2.838384</c:v>
                </c:pt>
                <c:pt idx="14">
                  <c:v>2.9797980000000002</c:v>
                </c:pt>
                <c:pt idx="15">
                  <c:v>3.1212119999999999</c:v>
                </c:pt>
                <c:pt idx="16">
                  <c:v>3.262626</c:v>
                </c:pt>
                <c:pt idx="17">
                  <c:v>3.4040400000000002</c:v>
                </c:pt>
                <c:pt idx="18">
                  <c:v>3.545455</c:v>
                </c:pt>
                <c:pt idx="19">
                  <c:v>3.6868690000000002</c:v>
                </c:pt>
                <c:pt idx="20">
                  <c:v>3.8282829999999999</c:v>
                </c:pt>
                <c:pt idx="21">
                  <c:v>3.969697</c:v>
                </c:pt>
                <c:pt idx="22">
                  <c:v>4.1111110000000002</c:v>
                </c:pt>
                <c:pt idx="23">
                  <c:v>4.2525250000000003</c:v>
                </c:pt>
                <c:pt idx="24">
                  <c:v>4.3939389999999996</c:v>
                </c:pt>
                <c:pt idx="25">
                  <c:v>4.5353539999999999</c:v>
                </c:pt>
                <c:pt idx="26">
                  <c:v>4.676768</c:v>
                </c:pt>
                <c:pt idx="27">
                  <c:v>4.8181820000000002</c:v>
                </c:pt>
                <c:pt idx="28">
                  <c:v>4.9595960000000003</c:v>
                </c:pt>
                <c:pt idx="29">
                  <c:v>5.1010099999999996</c:v>
                </c:pt>
                <c:pt idx="30">
                  <c:v>5.2424239999999998</c:v>
                </c:pt>
                <c:pt idx="31">
                  <c:v>5.3838379999999999</c:v>
                </c:pt>
                <c:pt idx="32">
                  <c:v>5.5252530000000002</c:v>
                </c:pt>
                <c:pt idx="33">
                  <c:v>5.6666670000000003</c:v>
                </c:pt>
                <c:pt idx="34">
                  <c:v>5.8080809999999996</c:v>
                </c:pt>
                <c:pt idx="35">
                  <c:v>5.9494949999999998</c:v>
                </c:pt>
                <c:pt idx="36">
                  <c:v>6.0909089999999999</c:v>
                </c:pt>
                <c:pt idx="37">
                  <c:v>6.2323230000000001</c:v>
                </c:pt>
                <c:pt idx="38">
                  <c:v>6.3737370000000002</c:v>
                </c:pt>
                <c:pt idx="39">
                  <c:v>6.5151519999999996</c:v>
                </c:pt>
                <c:pt idx="40">
                  <c:v>6.6565659999999998</c:v>
                </c:pt>
                <c:pt idx="41">
                  <c:v>6.7979799999999999</c:v>
                </c:pt>
                <c:pt idx="42">
                  <c:v>6.9393940000000001</c:v>
                </c:pt>
                <c:pt idx="43">
                  <c:v>7.0808080000000002</c:v>
                </c:pt>
                <c:pt idx="44">
                  <c:v>7.2222220000000004</c:v>
                </c:pt>
                <c:pt idx="45">
                  <c:v>7.3636359999999996</c:v>
                </c:pt>
                <c:pt idx="46">
                  <c:v>7.5050509999999999</c:v>
                </c:pt>
                <c:pt idx="47">
                  <c:v>7.6464650000000001</c:v>
                </c:pt>
                <c:pt idx="48">
                  <c:v>7.7878790000000002</c:v>
                </c:pt>
                <c:pt idx="49">
                  <c:v>7.9292930000000004</c:v>
                </c:pt>
                <c:pt idx="50">
                  <c:v>8.0707070000000005</c:v>
                </c:pt>
                <c:pt idx="51">
                  <c:v>8.2121209999999998</c:v>
                </c:pt>
                <c:pt idx="52">
                  <c:v>8.3535350000000008</c:v>
                </c:pt>
                <c:pt idx="53">
                  <c:v>8.4949490000000001</c:v>
                </c:pt>
                <c:pt idx="54">
                  <c:v>8.6363640000000004</c:v>
                </c:pt>
                <c:pt idx="55">
                  <c:v>8.7777779999999996</c:v>
                </c:pt>
                <c:pt idx="56">
                  <c:v>8.9191920000000007</c:v>
                </c:pt>
                <c:pt idx="57">
                  <c:v>9.0606059999999999</c:v>
                </c:pt>
                <c:pt idx="58">
                  <c:v>9.2020199999999992</c:v>
                </c:pt>
                <c:pt idx="59">
                  <c:v>9.3434340000000002</c:v>
                </c:pt>
                <c:pt idx="60">
                  <c:v>9.4848479999999995</c:v>
                </c:pt>
                <c:pt idx="61">
                  <c:v>9.6262629999999998</c:v>
                </c:pt>
                <c:pt idx="62">
                  <c:v>9.7676770000000008</c:v>
                </c:pt>
                <c:pt idx="63">
                  <c:v>9.9090910000000001</c:v>
                </c:pt>
                <c:pt idx="64">
                  <c:v>10.050504999999999</c:v>
                </c:pt>
                <c:pt idx="65">
                  <c:v>10.191919</c:v>
                </c:pt>
                <c:pt idx="66">
                  <c:v>10.333333</c:v>
                </c:pt>
                <c:pt idx="67">
                  <c:v>10.474747000000001</c:v>
                </c:pt>
                <c:pt idx="68">
                  <c:v>10.616161999999999</c:v>
                </c:pt>
                <c:pt idx="69">
                  <c:v>10.757576</c:v>
                </c:pt>
                <c:pt idx="70">
                  <c:v>10.89899</c:v>
                </c:pt>
                <c:pt idx="71">
                  <c:v>11.040404000000001</c:v>
                </c:pt>
                <c:pt idx="72">
                  <c:v>11.181818</c:v>
                </c:pt>
                <c:pt idx="73">
                  <c:v>11.323232000000001</c:v>
                </c:pt>
                <c:pt idx="74">
                  <c:v>11.464646</c:v>
                </c:pt>
                <c:pt idx="75">
                  <c:v>11.606061</c:v>
                </c:pt>
                <c:pt idx="76">
                  <c:v>11.747475</c:v>
                </c:pt>
                <c:pt idx="77">
                  <c:v>11.888889000000001</c:v>
                </c:pt>
                <c:pt idx="78">
                  <c:v>12.030303</c:v>
                </c:pt>
                <c:pt idx="79">
                  <c:v>12.171716999999999</c:v>
                </c:pt>
                <c:pt idx="80">
                  <c:v>12.313131</c:v>
                </c:pt>
                <c:pt idx="81">
                  <c:v>12.454545</c:v>
                </c:pt>
                <c:pt idx="82">
                  <c:v>12.59596</c:v>
                </c:pt>
                <c:pt idx="83">
                  <c:v>12.737374000000001</c:v>
                </c:pt>
                <c:pt idx="84">
                  <c:v>12.878788</c:v>
                </c:pt>
                <c:pt idx="85">
                  <c:v>13.020201999999999</c:v>
                </c:pt>
                <c:pt idx="86">
                  <c:v>13.161616</c:v>
                </c:pt>
                <c:pt idx="87">
                  <c:v>13.30303</c:v>
                </c:pt>
                <c:pt idx="88">
                  <c:v>13.444444000000001</c:v>
                </c:pt>
                <c:pt idx="89">
                  <c:v>13.585858999999999</c:v>
                </c:pt>
                <c:pt idx="90">
                  <c:v>13.727273</c:v>
                </c:pt>
                <c:pt idx="91">
                  <c:v>13.868687</c:v>
                </c:pt>
                <c:pt idx="92">
                  <c:v>14.010101000000001</c:v>
                </c:pt>
                <c:pt idx="93">
                  <c:v>14.151515</c:v>
                </c:pt>
                <c:pt idx="94">
                  <c:v>14.292929000000001</c:v>
                </c:pt>
                <c:pt idx="95">
                  <c:v>14.434343</c:v>
                </c:pt>
                <c:pt idx="96">
                  <c:v>14.575758</c:v>
                </c:pt>
                <c:pt idx="97">
                  <c:v>14.717172</c:v>
                </c:pt>
                <c:pt idx="98">
                  <c:v>14.858586000000001</c:v>
                </c:pt>
                <c:pt idx="99">
                  <c:v>15</c:v>
                </c:pt>
              </c:numCache>
            </c:numRef>
          </c:cat>
          <c:val>
            <c:numRef>
              <c:f>GPD!$F$9:$F$108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1C-4BFA-AEEF-10FBBF49831A}"/>
            </c:ext>
          </c:extLst>
        </c:ser>
        <c:ser>
          <c:idx val="1"/>
          <c:order val="1"/>
          <c:tx>
            <c:strRef>
              <c:f>GPD!$G$8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GPD!$D$9:$D$108</c:f>
              <c:numCache>
                <c:formatCode>General</c:formatCode>
                <c:ptCount val="100"/>
                <c:pt idx="0">
                  <c:v>1</c:v>
                </c:pt>
                <c:pt idx="1">
                  <c:v>1.1414139999999999</c:v>
                </c:pt>
                <c:pt idx="2">
                  <c:v>1.2828280000000001</c:v>
                </c:pt>
                <c:pt idx="3">
                  <c:v>1.424242</c:v>
                </c:pt>
                <c:pt idx="4">
                  <c:v>1.5656570000000001</c:v>
                </c:pt>
                <c:pt idx="5">
                  <c:v>1.707071</c:v>
                </c:pt>
                <c:pt idx="6">
                  <c:v>1.8484849999999999</c:v>
                </c:pt>
                <c:pt idx="7">
                  <c:v>1.9898990000000001</c:v>
                </c:pt>
                <c:pt idx="8">
                  <c:v>2.131313</c:v>
                </c:pt>
                <c:pt idx="9">
                  <c:v>2.2727270000000002</c:v>
                </c:pt>
                <c:pt idx="10">
                  <c:v>2.4141409999999999</c:v>
                </c:pt>
                <c:pt idx="11">
                  <c:v>2.5555560000000002</c:v>
                </c:pt>
                <c:pt idx="12">
                  <c:v>2.6969699999999999</c:v>
                </c:pt>
                <c:pt idx="13">
                  <c:v>2.838384</c:v>
                </c:pt>
                <c:pt idx="14">
                  <c:v>2.9797980000000002</c:v>
                </c:pt>
                <c:pt idx="15">
                  <c:v>3.1212119999999999</c:v>
                </c:pt>
                <c:pt idx="16">
                  <c:v>3.262626</c:v>
                </c:pt>
                <c:pt idx="17">
                  <c:v>3.4040400000000002</c:v>
                </c:pt>
                <c:pt idx="18">
                  <c:v>3.545455</c:v>
                </c:pt>
                <c:pt idx="19">
                  <c:v>3.6868690000000002</c:v>
                </c:pt>
                <c:pt idx="20">
                  <c:v>3.8282829999999999</c:v>
                </c:pt>
                <c:pt idx="21">
                  <c:v>3.969697</c:v>
                </c:pt>
                <c:pt idx="22">
                  <c:v>4.1111110000000002</c:v>
                </c:pt>
                <c:pt idx="23">
                  <c:v>4.2525250000000003</c:v>
                </c:pt>
                <c:pt idx="24">
                  <c:v>4.3939389999999996</c:v>
                </c:pt>
                <c:pt idx="25">
                  <c:v>4.5353539999999999</c:v>
                </c:pt>
                <c:pt idx="26">
                  <c:v>4.676768</c:v>
                </c:pt>
                <c:pt idx="27">
                  <c:v>4.8181820000000002</c:v>
                </c:pt>
                <c:pt idx="28">
                  <c:v>4.9595960000000003</c:v>
                </c:pt>
                <c:pt idx="29">
                  <c:v>5.1010099999999996</c:v>
                </c:pt>
                <c:pt idx="30">
                  <c:v>5.2424239999999998</c:v>
                </c:pt>
                <c:pt idx="31">
                  <c:v>5.3838379999999999</c:v>
                </c:pt>
                <c:pt idx="32">
                  <c:v>5.5252530000000002</c:v>
                </c:pt>
                <c:pt idx="33">
                  <c:v>5.6666670000000003</c:v>
                </c:pt>
                <c:pt idx="34">
                  <c:v>5.8080809999999996</c:v>
                </c:pt>
                <c:pt idx="35">
                  <c:v>5.9494949999999998</c:v>
                </c:pt>
                <c:pt idx="36">
                  <c:v>6.0909089999999999</c:v>
                </c:pt>
                <c:pt idx="37">
                  <c:v>6.2323230000000001</c:v>
                </c:pt>
                <c:pt idx="38">
                  <c:v>6.3737370000000002</c:v>
                </c:pt>
                <c:pt idx="39">
                  <c:v>6.5151519999999996</c:v>
                </c:pt>
                <c:pt idx="40">
                  <c:v>6.6565659999999998</c:v>
                </c:pt>
                <c:pt idx="41">
                  <c:v>6.7979799999999999</c:v>
                </c:pt>
                <c:pt idx="42">
                  <c:v>6.9393940000000001</c:v>
                </c:pt>
                <c:pt idx="43">
                  <c:v>7.0808080000000002</c:v>
                </c:pt>
                <c:pt idx="44">
                  <c:v>7.2222220000000004</c:v>
                </c:pt>
                <c:pt idx="45">
                  <c:v>7.3636359999999996</c:v>
                </c:pt>
                <c:pt idx="46">
                  <c:v>7.5050509999999999</c:v>
                </c:pt>
                <c:pt idx="47">
                  <c:v>7.6464650000000001</c:v>
                </c:pt>
                <c:pt idx="48">
                  <c:v>7.7878790000000002</c:v>
                </c:pt>
                <c:pt idx="49">
                  <c:v>7.9292930000000004</c:v>
                </c:pt>
                <c:pt idx="50">
                  <c:v>8.0707070000000005</c:v>
                </c:pt>
                <c:pt idx="51">
                  <c:v>8.2121209999999998</c:v>
                </c:pt>
                <c:pt idx="52">
                  <c:v>8.3535350000000008</c:v>
                </c:pt>
                <c:pt idx="53">
                  <c:v>8.4949490000000001</c:v>
                </c:pt>
                <c:pt idx="54">
                  <c:v>8.6363640000000004</c:v>
                </c:pt>
                <c:pt idx="55">
                  <c:v>8.7777779999999996</c:v>
                </c:pt>
                <c:pt idx="56">
                  <c:v>8.9191920000000007</c:v>
                </c:pt>
                <c:pt idx="57">
                  <c:v>9.0606059999999999</c:v>
                </c:pt>
                <c:pt idx="58">
                  <c:v>9.2020199999999992</c:v>
                </c:pt>
                <c:pt idx="59">
                  <c:v>9.3434340000000002</c:v>
                </c:pt>
                <c:pt idx="60">
                  <c:v>9.4848479999999995</c:v>
                </c:pt>
                <c:pt idx="61">
                  <c:v>9.6262629999999998</c:v>
                </c:pt>
                <c:pt idx="62">
                  <c:v>9.7676770000000008</c:v>
                </c:pt>
                <c:pt idx="63">
                  <c:v>9.9090910000000001</c:v>
                </c:pt>
                <c:pt idx="64">
                  <c:v>10.050504999999999</c:v>
                </c:pt>
                <c:pt idx="65">
                  <c:v>10.191919</c:v>
                </c:pt>
                <c:pt idx="66">
                  <c:v>10.333333</c:v>
                </c:pt>
                <c:pt idx="67">
                  <c:v>10.474747000000001</c:v>
                </c:pt>
                <c:pt idx="68">
                  <c:v>10.616161999999999</c:v>
                </c:pt>
                <c:pt idx="69">
                  <c:v>10.757576</c:v>
                </c:pt>
                <c:pt idx="70">
                  <c:v>10.89899</c:v>
                </c:pt>
                <c:pt idx="71">
                  <c:v>11.040404000000001</c:v>
                </c:pt>
                <c:pt idx="72">
                  <c:v>11.181818</c:v>
                </c:pt>
                <c:pt idx="73">
                  <c:v>11.323232000000001</c:v>
                </c:pt>
                <c:pt idx="74">
                  <c:v>11.464646</c:v>
                </c:pt>
                <c:pt idx="75">
                  <c:v>11.606061</c:v>
                </c:pt>
                <c:pt idx="76">
                  <c:v>11.747475</c:v>
                </c:pt>
                <c:pt idx="77">
                  <c:v>11.888889000000001</c:v>
                </c:pt>
                <c:pt idx="78">
                  <c:v>12.030303</c:v>
                </c:pt>
                <c:pt idx="79">
                  <c:v>12.171716999999999</c:v>
                </c:pt>
                <c:pt idx="80">
                  <c:v>12.313131</c:v>
                </c:pt>
                <c:pt idx="81">
                  <c:v>12.454545</c:v>
                </c:pt>
                <c:pt idx="82">
                  <c:v>12.59596</c:v>
                </c:pt>
                <c:pt idx="83">
                  <c:v>12.737374000000001</c:v>
                </c:pt>
                <c:pt idx="84">
                  <c:v>12.878788</c:v>
                </c:pt>
                <c:pt idx="85">
                  <c:v>13.020201999999999</c:v>
                </c:pt>
                <c:pt idx="86">
                  <c:v>13.161616</c:v>
                </c:pt>
                <c:pt idx="87">
                  <c:v>13.30303</c:v>
                </c:pt>
                <c:pt idx="88">
                  <c:v>13.444444000000001</c:v>
                </c:pt>
                <c:pt idx="89">
                  <c:v>13.585858999999999</c:v>
                </c:pt>
                <c:pt idx="90">
                  <c:v>13.727273</c:v>
                </c:pt>
                <c:pt idx="91">
                  <c:v>13.868687</c:v>
                </c:pt>
                <c:pt idx="92">
                  <c:v>14.010101000000001</c:v>
                </c:pt>
                <c:pt idx="93">
                  <c:v>14.151515</c:v>
                </c:pt>
                <c:pt idx="94">
                  <c:v>14.292929000000001</c:v>
                </c:pt>
                <c:pt idx="95">
                  <c:v>14.434343</c:v>
                </c:pt>
                <c:pt idx="96">
                  <c:v>14.575758</c:v>
                </c:pt>
                <c:pt idx="97">
                  <c:v>14.717172</c:v>
                </c:pt>
                <c:pt idx="98">
                  <c:v>14.858586000000001</c:v>
                </c:pt>
                <c:pt idx="99">
                  <c:v>15</c:v>
                </c:pt>
              </c:numCache>
            </c:numRef>
          </c:cat>
          <c:val>
            <c:numRef>
              <c:f>GPD!$G$9:$G$108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1C-4BFA-AEEF-10FBBF498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Lomax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Lomax!$E$8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Lomax!$D$9:$D$108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0.161414</c:v>
                </c:pt>
                <c:pt idx="2">
                  <c:v>0.31282799999999999</c:v>
                </c:pt>
                <c:pt idx="3">
                  <c:v>0.46424199999999999</c:v>
                </c:pt>
                <c:pt idx="4">
                  <c:v>0.61565700000000001</c:v>
                </c:pt>
                <c:pt idx="5">
                  <c:v>0.76707099999999995</c:v>
                </c:pt>
                <c:pt idx="6">
                  <c:v>0.918485</c:v>
                </c:pt>
                <c:pt idx="7">
                  <c:v>1.0698989999999999</c:v>
                </c:pt>
                <c:pt idx="8">
                  <c:v>1.2213130000000001</c:v>
                </c:pt>
                <c:pt idx="9">
                  <c:v>1.372727</c:v>
                </c:pt>
                <c:pt idx="10">
                  <c:v>1.524141</c:v>
                </c:pt>
                <c:pt idx="11">
                  <c:v>1.675556</c:v>
                </c:pt>
                <c:pt idx="12">
                  <c:v>1.82697</c:v>
                </c:pt>
                <c:pt idx="13">
                  <c:v>1.9783839999999999</c:v>
                </c:pt>
                <c:pt idx="14">
                  <c:v>2.1297980000000001</c:v>
                </c:pt>
                <c:pt idx="15">
                  <c:v>2.281212</c:v>
                </c:pt>
                <c:pt idx="16">
                  <c:v>2.432626</c:v>
                </c:pt>
                <c:pt idx="17">
                  <c:v>2.5840399999999999</c:v>
                </c:pt>
                <c:pt idx="18">
                  <c:v>2.735455</c:v>
                </c:pt>
                <c:pt idx="19">
                  <c:v>2.8868689999999999</c:v>
                </c:pt>
                <c:pt idx="20">
                  <c:v>3.0382829999999998</c:v>
                </c:pt>
                <c:pt idx="21">
                  <c:v>3.1896969999999998</c:v>
                </c:pt>
                <c:pt idx="22">
                  <c:v>3.3411110000000002</c:v>
                </c:pt>
                <c:pt idx="23">
                  <c:v>3.4925250000000001</c:v>
                </c:pt>
                <c:pt idx="24">
                  <c:v>3.643939</c:v>
                </c:pt>
                <c:pt idx="25">
                  <c:v>3.7953540000000001</c:v>
                </c:pt>
                <c:pt idx="26">
                  <c:v>3.9467680000000001</c:v>
                </c:pt>
                <c:pt idx="27">
                  <c:v>4.0981820000000004</c:v>
                </c:pt>
                <c:pt idx="28">
                  <c:v>4.2495960000000004</c:v>
                </c:pt>
                <c:pt idx="29">
                  <c:v>4.4010100000000003</c:v>
                </c:pt>
                <c:pt idx="30">
                  <c:v>4.5524240000000002</c:v>
                </c:pt>
                <c:pt idx="31">
                  <c:v>4.7038380000000002</c:v>
                </c:pt>
                <c:pt idx="32">
                  <c:v>4.8552530000000003</c:v>
                </c:pt>
                <c:pt idx="33">
                  <c:v>5.0066670000000002</c:v>
                </c:pt>
                <c:pt idx="34">
                  <c:v>5.1580810000000001</c:v>
                </c:pt>
                <c:pt idx="35">
                  <c:v>5.3094950000000001</c:v>
                </c:pt>
                <c:pt idx="36">
                  <c:v>5.460909</c:v>
                </c:pt>
                <c:pt idx="37">
                  <c:v>5.612323</c:v>
                </c:pt>
                <c:pt idx="38">
                  <c:v>5.7637369999999999</c:v>
                </c:pt>
                <c:pt idx="39">
                  <c:v>5.915152</c:v>
                </c:pt>
                <c:pt idx="40">
                  <c:v>6.0665659999999999</c:v>
                </c:pt>
                <c:pt idx="41">
                  <c:v>6.2179799999999998</c:v>
                </c:pt>
                <c:pt idx="42">
                  <c:v>6.3693939999999998</c:v>
                </c:pt>
                <c:pt idx="43">
                  <c:v>6.5208079999999997</c:v>
                </c:pt>
                <c:pt idx="44">
                  <c:v>6.6722219999999997</c:v>
                </c:pt>
                <c:pt idx="45">
                  <c:v>6.8236359999999996</c:v>
                </c:pt>
                <c:pt idx="46">
                  <c:v>6.9750509999999997</c:v>
                </c:pt>
                <c:pt idx="47">
                  <c:v>7.1264649999999996</c:v>
                </c:pt>
                <c:pt idx="48">
                  <c:v>7.2778790000000004</c:v>
                </c:pt>
                <c:pt idx="49">
                  <c:v>7.4292930000000004</c:v>
                </c:pt>
                <c:pt idx="50">
                  <c:v>7.5807070000000003</c:v>
                </c:pt>
                <c:pt idx="51">
                  <c:v>7.7321210000000002</c:v>
                </c:pt>
                <c:pt idx="52">
                  <c:v>7.8835350000000002</c:v>
                </c:pt>
                <c:pt idx="53">
                  <c:v>8.0349489999999992</c:v>
                </c:pt>
                <c:pt idx="54">
                  <c:v>8.1863639999999993</c:v>
                </c:pt>
                <c:pt idx="55">
                  <c:v>8.3377780000000001</c:v>
                </c:pt>
                <c:pt idx="56">
                  <c:v>8.4891919999999992</c:v>
                </c:pt>
                <c:pt idx="57">
                  <c:v>8.640606</c:v>
                </c:pt>
                <c:pt idx="58">
                  <c:v>8.7920200000000008</c:v>
                </c:pt>
                <c:pt idx="59">
                  <c:v>8.9434339999999999</c:v>
                </c:pt>
                <c:pt idx="60">
                  <c:v>9.0948480000000007</c:v>
                </c:pt>
                <c:pt idx="61">
                  <c:v>9.2462630000000008</c:v>
                </c:pt>
                <c:pt idx="62">
                  <c:v>9.3976769999999998</c:v>
                </c:pt>
                <c:pt idx="63">
                  <c:v>9.5490910000000007</c:v>
                </c:pt>
                <c:pt idx="64">
                  <c:v>9.7005049999999997</c:v>
                </c:pt>
                <c:pt idx="65">
                  <c:v>9.8519190000000005</c:v>
                </c:pt>
                <c:pt idx="66">
                  <c:v>10.003333</c:v>
                </c:pt>
                <c:pt idx="67">
                  <c:v>10.154747</c:v>
                </c:pt>
                <c:pt idx="68">
                  <c:v>10.306162</c:v>
                </c:pt>
                <c:pt idx="69">
                  <c:v>10.457576</c:v>
                </c:pt>
                <c:pt idx="70">
                  <c:v>10.60899</c:v>
                </c:pt>
                <c:pt idx="71">
                  <c:v>10.760403999999999</c:v>
                </c:pt>
                <c:pt idx="72">
                  <c:v>10.911818</c:v>
                </c:pt>
                <c:pt idx="73">
                  <c:v>11.063231999999999</c:v>
                </c:pt>
                <c:pt idx="74">
                  <c:v>11.214646</c:v>
                </c:pt>
                <c:pt idx="75">
                  <c:v>11.366061</c:v>
                </c:pt>
                <c:pt idx="76">
                  <c:v>11.517474999999999</c:v>
                </c:pt>
                <c:pt idx="77">
                  <c:v>11.668889</c:v>
                </c:pt>
                <c:pt idx="78">
                  <c:v>11.820302999999999</c:v>
                </c:pt>
                <c:pt idx="79">
                  <c:v>11.971717</c:v>
                </c:pt>
                <c:pt idx="80">
                  <c:v>12.123131000000001</c:v>
                </c:pt>
                <c:pt idx="81">
                  <c:v>12.274545</c:v>
                </c:pt>
                <c:pt idx="82">
                  <c:v>12.42596</c:v>
                </c:pt>
                <c:pt idx="83">
                  <c:v>12.577374000000001</c:v>
                </c:pt>
                <c:pt idx="84">
                  <c:v>12.728788</c:v>
                </c:pt>
                <c:pt idx="85">
                  <c:v>12.880202000000001</c:v>
                </c:pt>
                <c:pt idx="86">
                  <c:v>13.031616</c:v>
                </c:pt>
                <c:pt idx="87">
                  <c:v>13.18303</c:v>
                </c:pt>
                <c:pt idx="88">
                  <c:v>13.334444</c:v>
                </c:pt>
                <c:pt idx="89">
                  <c:v>13.485859</c:v>
                </c:pt>
                <c:pt idx="90">
                  <c:v>13.637273</c:v>
                </c:pt>
                <c:pt idx="91">
                  <c:v>13.788686999999999</c:v>
                </c:pt>
                <c:pt idx="92">
                  <c:v>13.940101</c:v>
                </c:pt>
                <c:pt idx="93">
                  <c:v>14.091514999999999</c:v>
                </c:pt>
                <c:pt idx="94">
                  <c:v>14.242929</c:v>
                </c:pt>
                <c:pt idx="95">
                  <c:v>14.394342999999999</c:v>
                </c:pt>
                <c:pt idx="96">
                  <c:v>14.545757999999999</c:v>
                </c:pt>
                <c:pt idx="97">
                  <c:v>14.697172</c:v>
                </c:pt>
                <c:pt idx="98">
                  <c:v>14.848585999999999</c:v>
                </c:pt>
                <c:pt idx="99">
                  <c:v>15</c:v>
                </c:pt>
              </c:numCache>
            </c:numRef>
          </c:cat>
          <c:val>
            <c:numRef>
              <c:f>Lomax!$E$9:$E$108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D3-428F-BAC9-8478B865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Lomax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Lomax!$F$8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Lomax!$D$9:$D$108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0.161414</c:v>
                </c:pt>
                <c:pt idx="2">
                  <c:v>0.31282799999999999</c:v>
                </c:pt>
                <c:pt idx="3">
                  <c:v>0.46424199999999999</c:v>
                </c:pt>
                <c:pt idx="4">
                  <c:v>0.61565700000000001</c:v>
                </c:pt>
                <c:pt idx="5">
                  <c:v>0.76707099999999995</c:v>
                </c:pt>
                <c:pt idx="6">
                  <c:v>0.918485</c:v>
                </c:pt>
                <c:pt idx="7">
                  <c:v>1.0698989999999999</c:v>
                </c:pt>
                <c:pt idx="8">
                  <c:v>1.2213130000000001</c:v>
                </c:pt>
                <c:pt idx="9">
                  <c:v>1.372727</c:v>
                </c:pt>
                <c:pt idx="10">
                  <c:v>1.524141</c:v>
                </c:pt>
                <c:pt idx="11">
                  <c:v>1.675556</c:v>
                </c:pt>
                <c:pt idx="12">
                  <c:v>1.82697</c:v>
                </c:pt>
                <c:pt idx="13">
                  <c:v>1.9783839999999999</c:v>
                </c:pt>
                <c:pt idx="14">
                  <c:v>2.1297980000000001</c:v>
                </c:pt>
                <c:pt idx="15">
                  <c:v>2.281212</c:v>
                </c:pt>
                <c:pt idx="16">
                  <c:v>2.432626</c:v>
                </c:pt>
                <c:pt idx="17">
                  <c:v>2.5840399999999999</c:v>
                </c:pt>
                <c:pt idx="18">
                  <c:v>2.735455</c:v>
                </c:pt>
                <c:pt idx="19">
                  <c:v>2.8868689999999999</c:v>
                </c:pt>
                <c:pt idx="20">
                  <c:v>3.0382829999999998</c:v>
                </c:pt>
                <c:pt idx="21">
                  <c:v>3.1896969999999998</c:v>
                </c:pt>
                <c:pt idx="22">
                  <c:v>3.3411110000000002</c:v>
                </c:pt>
                <c:pt idx="23">
                  <c:v>3.4925250000000001</c:v>
                </c:pt>
                <c:pt idx="24">
                  <c:v>3.643939</c:v>
                </c:pt>
                <c:pt idx="25">
                  <c:v>3.7953540000000001</c:v>
                </c:pt>
                <c:pt idx="26">
                  <c:v>3.9467680000000001</c:v>
                </c:pt>
                <c:pt idx="27">
                  <c:v>4.0981820000000004</c:v>
                </c:pt>
                <c:pt idx="28">
                  <c:v>4.2495960000000004</c:v>
                </c:pt>
                <c:pt idx="29">
                  <c:v>4.4010100000000003</c:v>
                </c:pt>
                <c:pt idx="30">
                  <c:v>4.5524240000000002</c:v>
                </c:pt>
                <c:pt idx="31">
                  <c:v>4.7038380000000002</c:v>
                </c:pt>
                <c:pt idx="32">
                  <c:v>4.8552530000000003</c:v>
                </c:pt>
                <c:pt idx="33">
                  <c:v>5.0066670000000002</c:v>
                </c:pt>
                <c:pt idx="34">
                  <c:v>5.1580810000000001</c:v>
                </c:pt>
                <c:pt idx="35">
                  <c:v>5.3094950000000001</c:v>
                </c:pt>
                <c:pt idx="36">
                  <c:v>5.460909</c:v>
                </c:pt>
                <c:pt idx="37">
                  <c:v>5.612323</c:v>
                </c:pt>
                <c:pt idx="38">
                  <c:v>5.7637369999999999</c:v>
                </c:pt>
                <c:pt idx="39">
                  <c:v>5.915152</c:v>
                </c:pt>
                <c:pt idx="40">
                  <c:v>6.0665659999999999</c:v>
                </c:pt>
                <c:pt idx="41">
                  <c:v>6.2179799999999998</c:v>
                </c:pt>
                <c:pt idx="42">
                  <c:v>6.3693939999999998</c:v>
                </c:pt>
                <c:pt idx="43">
                  <c:v>6.5208079999999997</c:v>
                </c:pt>
                <c:pt idx="44">
                  <c:v>6.6722219999999997</c:v>
                </c:pt>
                <c:pt idx="45">
                  <c:v>6.8236359999999996</c:v>
                </c:pt>
                <c:pt idx="46">
                  <c:v>6.9750509999999997</c:v>
                </c:pt>
                <c:pt idx="47">
                  <c:v>7.1264649999999996</c:v>
                </c:pt>
                <c:pt idx="48">
                  <c:v>7.2778790000000004</c:v>
                </c:pt>
                <c:pt idx="49">
                  <c:v>7.4292930000000004</c:v>
                </c:pt>
                <c:pt idx="50">
                  <c:v>7.5807070000000003</c:v>
                </c:pt>
                <c:pt idx="51">
                  <c:v>7.7321210000000002</c:v>
                </c:pt>
                <c:pt idx="52">
                  <c:v>7.8835350000000002</c:v>
                </c:pt>
                <c:pt idx="53">
                  <c:v>8.0349489999999992</c:v>
                </c:pt>
                <c:pt idx="54">
                  <c:v>8.1863639999999993</c:v>
                </c:pt>
                <c:pt idx="55">
                  <c:v>8.3377780000000001</c:v>
                </c:pt>
                <c:pt idx="56">
                  <c:v>8.4891919999999992</c:v>
                </c:pt>
                <c:pt idx="57">
                  <c:v>8.640606</c:v>
                </c:pt>
                <c:pt idx="58">
                  <c:v>8.7920200000000008</c:v>
                </c:pt>
                <c:pt idx="59">
                  <c:v>8.9434339999999999</c:v>
                </c:pt>
                <c:pt idx="60">
                  <c:v>9.0948480000000007</c:v>
                </c:pt>
                <c:pt idx="61">
                  <c:v>9.2462630000000008</c:v>
                </c:pt>
                <c:pt idx="62">
                  <c:v>9.3976769999999998</c:v>
                </c:pt>
                <c:pt idx="63">
                  <c:v>9.5490910000000007</c:v>
                </c:pt>
                <c:pt idx="64">
                  <c:v>9.7005049999999997</c:v>
                </c:pt>
                <c:pt idx="65">
                  <c:v>9.8519190000000005</c:v>
                </c:pt>
                <c:pt idx="66">
                  <c:v>10.003333</c:v>
                </c:pt>
                <c:pt idx="67">
                  <c:v>10.154747</c:v>
                </c:pt>
                <c:pt idx="68">
                  <c:v>10.306162</c:v>
                </c:pt>
                <c:pt idx="69">
                  <c:v>10.457576</c:v>
                </c:pt>
                <c:pt idx="70">
                  <c:v>10.60899</c:v>
                </c:pt>
                <c:pt idx="71">
                  <c:v>10.760403999999999</c:v>
                </c:pt>
                <c:pt idx="72">
                  <c:v>10.911818</c:v>
                </c:pt>
                <c:pt idx="73">
                  <c:v>11.063231999999999</c:v>
                </c:pt>
                <c:pt idx="74">
                  <c:v>11.214646</c:v>
                </c:pt>
                <c:pt idx="75">
                  <c:v>11.366061</c:v>
                </c:pt>
                <c:pt idx="76">
                  <c:v>11.517474999999999</c:v>
                </c:pt>
                <c:pt idx="77">
                  <c:v>11.668889</c:v>
                </c:pt>
                <c:pt idx="78">
                  <c:v>11.820302999999999</c:v>
                </c:pt>
                <c:pt idx="79">
                  <c:v>11.971717</c:v>
                </c:pt>
                <c:pt idx="80">
                  <c:v>12.123131000000001</c:v>
                </c:pt>
                <c:pt idx="81">
                  <c:v>12.274545</c:v>
                </c:pt>
                <c:pt idx="82">
                  <c:v>12.42596</c:v>
                </c:pt>
                <c:pt idx="83">
                  <c:v>12.577374000000001</c:v>
                </c:pt>
                <c:pt idx="84">
                  <c:v>12.728788</c:v>
                </c:pt>
                <c:pt idx="85">
                  <c:v>12.880202000000001</c:v>
                </c:pt>
                <c:pt idx="86">
                  <c:v>13.031616</c:v>
                </c:pt>
                <c:pt idx="87">
                  <c:v>13.18303</c:v>
                </c:pt>
                <c:pt idx="88">
                  <c:v>13.334444</c:v>
                </c:pt>
                <c:pt idx="89">
                  <c:v>13.485859</c:v>
                </c:pt>
                <c:pt idx="90">
                  <c:v>13.637273</c:v>
                </c:pt>
                <c:pt idx="91">
                  <c:v>13.788686999999999</c:v>
                </c:pt>
                <c:pt idx="92">
                  <c:v>13.940101</c:v>
                </c:pt>
                <c:pt idx="93">
                  <c:v>14.091514999999999</c:v>
                </c:pt>
                <c:pt idx="94">
                  <c:v>14.242929</c:v>
                </c:pt>
                <c:pt idx="95">
                  <c:v>14.394342999999999</c:v>
                </c:pt>
                <c:pt idx="96">
                  <c:v>14.545757999999999</c:v>
                </c:pt>
                <c:pt idx="97">
                  <c:v>14.697172</c:v>
                </c:pt>
                <c:pt idx="98">
                  <c:v>14.848585999999999</c:v>
                </c:pt>
                <c:pt idx="99">
                  <c:v>15</c:v>
                </c:pt>
              </c:numCache>
            </c:numRef>
          </c:cat>
          <c:val>
            <c:numRef>
              <c:f>Lomax!$F$9:$F$108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73-4071-9C03-615FB7A4997C}"/>
            </c:ext>
          </c:extLst>
        </c:ser>
        <c:ser>
          <c:idx val="1"/>
          <c:order val="1"/>
          <c:tx>
            <c:strRef>
              <c:f>Lomax!$G$8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Lomax!$D$9:$D$108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0.161414</c:v>
                </c:pt>
                <c:pt idx="2">
                  <c:v>0.31282799999999999</c:v>
                </c:pt>
                <c:pt idx="3">
                  <c:v>0.46424199999999999</c:v>
                </c:pt>
                <c:pt idx="4">
                  <c:v>0.61565700000000001</c:v>
                </c:pt>
                <c:pt idx="5">
                  <c:v>0.76707099999999995</c:v>
                </c:pt>
                <c:pt idx="6">
                  <c:v>0.918485</c:v>
                </c:pt>
                <c:pt idx="7">
                  <c:v>1.0698989999999999</c:v>
                </c:pt>
                <c:pt idx="8">
                  <c:v>1.2213130000000001</c:v>
                </c:pt>
                <c:pt idx="9">
                  <c:v>1.372727</c:v>
                </c:pt>
                <c:pt idx="10">
                  <c:v>1.524141</c:v>
                </c:pt>
                <c:pt idx="11">
                  <c:v>1.675556</c:v>
                </c:pt>
                <c:pt idx="12">
                  <c:v>1.82697</c:v>
                </c:pt>
                <c:pt idx="13">
                  <c:v>1.9783839999999999</c:v>
                </c:pt>
                <c:pt idx="14">
                  <c:v>2.1297980000000001</c:v>
                </c:pt>
                <c:pt idx="15">
                  <c:v>2.281212</c:v>
                </c:pt>
                <c:pt idx="16">
                  <c:v>2.432626</c:v>
                </c:pt>
                <c:pt idx="17">
                  <c:v>2.5840399999999999</c:v>
                </c:pt>
                <c:pt idx="18">
                  <c:v>2.735455</c:v>
                </c:pt>
                <c:pt idx="19">
                  <c:v>2.8868689999999999</c:v>
                </c:pt>
                <c:pt idx="20">
                  <c:v>3.0382829999999998</c:v>
                </c:pt>
                <c:pt idx="21">
                  <c:v>3.1896969999999998</c:v>
                </c:pt>
                <c:pt idx="22">
                  <c:v>3.3411110000000002</c:v>
                </c:pt>
                <c:pt idx="23">
                  <c:v>3.4925250000000001</c:v>
                </c:pt>
                <c:pt idx="24">
                  <c:v>3.643939</c:v>
                </c:pt>
                <c:pt idx="25">
                  <c:v>3.7953540000000001</c:v>
                </c:pt>
                <c:pt idx="26">
                  <c:v>3.9467680000000001</c:v>
                </c:pt>
                <c:pt idx="27">
                  <c:v>4.0981820000000004</c:v>
                </c:pt>
                <c:pt idx="28">
                  <c:v>4.2495960000000004</c:v>
                </c:pt>
                <c:pt idx="29">
                  <c:v>4.4010100000000003</c:v>
                </c:pt>
                <c:pt idx="30">
                  <c:v>4.5524240000000002</c:v>
                </c:pt>
                <c:pt idx="31">
                  <c:v>4.7038380000000002</c:v>
                </c:pt>
                <c:pt idx="32">
                  <c:v>4.8552530000000003</c:v>
                </c:pt>
                <c:pt idx="33">
                  <c:v>5.0066670000000002</c:v>
                </c:pt>
                <c:pt idx="34">
                  <c:v>5.1580810000000001</c:v>
                </c:pt>
                <c:pt idx="35">
                  <c:v>5.3094950000000001</c:v>
                </c:pt>
                <c:pt idx="36">
                  <c:v>5.460909</c:v>
                </c:pt>
                <c:pt idx="37">
                  <c:v>5.612323</c:v>
                </c:pt>
                <c:pt idx="38">
                  <c:v>5.7637369999999999</c:v>
                </c:pt>
                <c:pt idx="39">
                  <c:v>5.915152</c:v>
                </c:pt>
                <c:pt idx="40">
                  <c:v>6.0665659999999999</c:v>
                </c:pt>
                <c:pt idx="41">
                  <c:v>6.2179799999999998</c:v>
                </c:pt>
                <c:pt idx="42">
                  <c:v>6.3693939999999998</c:v>
                </c:pt>
                <c:pt idx="43">
                  <c:v>6.5208079999999997</c:v>
                </c:pt>
                <c:pt idx="44">
                  <c:v>6.6722219999999997</c:v>
                </c:pt>
                <c:pt idx="45">
                  <c:v>6.8236359999999996</c:v>
                </c:pt>
                <c:pt idx="46">
                  <c:v>6.9750509999999997</c:v>
                </c:pt>
                <c:pt idx="47">
                  <c:v>7.1264649999999996</c:v>
                </c:pt>
                <c:pt idx="48">
                  <c:v>7.2778790000000004</c:v>
                </c:pt>
                <c:pt idx="49">
                  <c:v>7.4292930000000004</c:v>
                </c:pt>
                <c:pt idx="50">
                  <c:v>7.5807070000000003</c:v>
                </c:pt>
                <c:pt idx="51">
                  <c:v>7.7321210000000002</c:v>
                </c:pt>
                <c:pt idx="52">
                  <c:v>7.8835350000000002</c:v>
                </c:pt>
                <c:pt idx="53">
                  <c:v>8.0349489999999992</c:v>
                </c:pt>
                <c:pt idx="54">
                  <c:v>8.1863639999999993</c:v>
                </c:pt>
                <c:pt idx="55">
                  <c:v>8.3377780000000001</c:v>
                </c:pt>
                <c:pt idx="56">
                  <c:v>8.4891919999999992</c:v>
                </c:pt>
                <c:pt idx="57">
                  <c:v>8.640606</c:v>
                </c:pt>
                <c:pt idx="58">
                  <c:v>8.7920200000000008</c:v>
                </c:pt>
                <c:pt idx="59">
                  <c:v>8.9434339999999999</c:v>
                </c:pt>
                <c:pt idx="60">
                  <c:v>9.0948480000000007</c:v>
                </c:pt>
                <c:pt idx="61">
                  <c:v>9.2462630000000008</c:v>
                </c:pt>
                <c:pt idx="62">
                  <c:v>9.3976769999999998</c:v>
                </c:pt>
                <c:pt idx="63">
                  <c:v>9.5490910000000007</c:v>
                </c:pt>
                <c:pt idx="64">
                  <c:v>9.7005049999999997</c:v>
                </c:pt>
                <c:pt idx="65">
                  <c:v>9.8519190000000005</c:v>
                </c:pt>
                <c:pt idx="66">
                  <c:v>10.003333</c:v>
                </c:pt>
                <c:pt idx="67">
                  <c:v>10.154747</c:v>
                </c:pt>
                <c:pt idx="68">
                  <c:v>10.306162</c:v>
                </c:pt>
                <c:pt idx="69">
                  <c:v>10.457576</c:v>
                </c:pt>
                <c:pt idx="70">
                  <c:v>10.60899</c:v>
                </c:pt>
                <c:pt idx="71">
                  <c:v>10.760403999999999</c:v>
                </c:pt>
                <c:pt idx="72">
                  <c:v>10.911818</c:v>
                </c:pt>
                <c:pt idx="73">
                  <c:v>11.063231999999999</c:v>
                </c:pt>
                <c:pt idx="74">
                  <c:v>11.214646</c:v>
                </c:pt>
                <c:pt idx="75">
                  <c:v>11.366061</c:v>
                </c:pt>
                <c:pt idx="76">
                  <c:v>11.517474999999999</c:v>
                </c:pt>
                <c:pt idx="77">
                  <c:v>11.668889</c:v>
                </c:pt>
                <c:pt idx="78">
                  <c:v>11.820302999999999</c:v>
                </c:pt>
                <c:pt idx="79">
                  <c:v>11.971717</c:v>
                </c:pt>
                <c:pt idx="80">
                  <c:v>12.123131000000001</c:v>
                </c:pt>
                <c:pt idx="81">
                  <c:v>12.274545</c:v>
                </c:pt>
                <c:pt idx="82">
                  <c:v>12.42596</c:v>
                </c:pt>
                <c:pt idx="83">
                  <c:v>12.577374000000001</c:v>
                </c:pt>
                <c:pt idx="84">
                  <c:v>12.728788</c:v>
                </c:pt>
                <c:pt idx="85">
                  <c:v>12.880202000000001</c:v>
                </c:pt>
                <c:pt idx="86">
                  <c:v>13.031616</c:v>
                </c:pt>
                <c:pt idx="87">
                  <c:v>13.18303</c:v>
                </c:pt>
                <c:pt idx="88">
                  <c:v>13.334444</c:v>
                </c:pt>
                <c:pt idx="89">
                  <c:v>13.485859</c:v>
                </c:pt>
                <c:pt idx="90">
                  <c:v>13.637273</c:v>
                </c:pt>
                <c:pt idx="91">
                  <c:v>13.788686999999999</c:v>
                </c:pt>
                <c:pt idx="92">
                  <c:v>13.940101</c:v>
                </c:pt>
                <c:pt idx="93">
                  <c:v>14.091514999999999</c:v>
                </c:pt>
                <c:pt idx="94">
                  <c:v>14.242929</c:v>
                </c:pt>
                <c:pt idx="95">
                  <c:v>14.394342999999999</c:v>
                </c:pt>
                <c:pt idx="96">
                  <c:v>14.545757999999999</c:v>
                </c:pt>
                <c:pt idx="97">
                  <c:v>14.697172</c:v>
                </c:pt>
                <c:pt idx="98">
                  <c:v>14.848585999999999</c:v>
                </c:pt>
                <c:pt idx="99">
                  <c:v>15</c:v>
                </c:pt>
              </c:numCache>
            </c:numRef>
          </c:cat>
          <c:val>
            <c:numRef>
              <c:f>Lomax!$G$9:$G$108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73-4071-9C03-615FB7A49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Burr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Burr!$E$8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Burr!$D$9:$D$108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0.11090899999999999</c:v>
                </c:pt>
                <c:pt idx="2">
                  <c:v>0.21181800000000001</c:v>
                </c:pt>
                <c:pt idx="3">
                  <c:v>0.31272699999999998</c:v>
                </c:pt>
                <c:pt idx="4">
                  <c:v>0.413636</c:v>
                </c:pt>
                <c:pt idx="5">
                  <c:v>0.51454500000000003</c:v>
                </c:pt>
                <c:pt idx="6">
                  <c:v>0.61545499999999997</c:v>
                </c:pt>
                <c:pt idx="7">
                  <c:v>0.716364</c:v>
                </c:pt>
                <c:pt idx="8">
                  <c:v>0.81727300000000003</c:v>
                </c:pt>
                <c:pt idx="9">
                  <c:v>0.91818200000000005</c:v>
                </c:pt>
                <c:pt idx="10">
                  <c:v>1.019091</c:v>
                </c:pt>
                <c:pt idx="11">
                  <c:v>1.1200000000000001</c:v>
                </c:pt>
                <c:pt idx="12">
                  <c:v>1.220909</c:v>
                </c:pt>
                <c:pt idx="13">
                  <c:v>1.3218179999999999</c:v>
                </c:pt>
                <c:pt idx="14">
                  <c:v>1.4227270000000001</c:v>
                </c:pt>
                <c:pt idx="15">
                  <c:v>1.523636</c:v>
                </c:pt>
                <c:pt idx="16">
                  <c:v>1.6245449999999999</c:v>
                </c:pt>
                <c:pt idx="17">
                  <c:v>1.725455</c:v>
                </c:pt>
                <c:pt idx="18">
                  <c:v>1.8263640000000001</c:v>
                </c:pt>
                <c:pt idx="19">
                  <c:v>1.927273</c:v>
                </c:pt>
                <c:pt idx="20">
                  <c:v>2.0281820000000002</c:v>
                </c:pt>
                <c:pt idx="21">
                  <c:v>2.1290909999999998</c:v>
                </c:pt>
                <c:pt idx="22">
                  <c:v>2.23</c:v>
                </c:pt>
                <c:pt idx="23">
                  <c:v>2.3309090000000001</c:v>
                </c:pt>
                <c:pt idx="24">
                  <c:v>2.4318179999999998</c:v>
                </c:pt>
                <c:pt idx="25">
                  <c:v>2.532727</c:v>
                </c:pt>
                <c:pt idx="26">
                  <c:v>2.6336360000000001</c:v>
                </c:pt>
                <c:pt idx="27">
                  <c:v>2.7345449999999998</c:v>
                </c:pt>
                <c:pt idx="28">
                  <c:v>2.8354550000000001</c:v>
                </c:pt>
                <c:pt idx="29">
                  <c:v>2.9363640000000002</c:v>
                </c:pt>
                <c:pt idx="30">
                  <c:v>3.0372729999999999</c:v>
                </c:pt>
                <c:pt idx="31">
                  <c:v>3.138182</c:v>
                </c:pt>
                <c:pt idx="32">
                  <c:v>3.2390910000000002</c:v>
                </c:pt>
                <c:pt idx="33">
                  <c:v>3.34</c:v>
                </c:pt>
                <c:pt idx="34">
                  <c:v>3.440909</c:v>
                </c:pt>
                <c:pt idx="35">
                  <c:v>3.5418180000000001</c:v>
                </c:pt>
                <c:pt idx="36">
                  <c:v>3.6427269999999998</c:v>
                </c:pt>
                <c:pt idx="37">
                  <c:v>3.743636</c:v>
                </c:pt>
                <c:pt idx="38">
                  <c:v>3.8445450000000001</c:v>
                </c:pt>
                <c:pt idx="39">
                  <c:v>3.9454549999999999</c:v>
                </c:pt>
                <c:pt idx="40">
                  <c:v>4.0463639999999996</c:v>
                </c:pt>
                <c:pt idx="41">
                  <c:v>4.1472730000000002</c:v>
                </c:pt>
                <c:pt idx="42">
                  <c:v>4.2481819999999999</c:v>
                </c:pt>
                <c:pt idx="43">
                  <c:v>4.3490909999999996</c:v>
                </c:pt>
                <c:pt idx="44">
                  <c:v>4.45</c:v>
                </c:pt>
                <c:pt idx="45">
                  <c:v>4.5509089999999999</c:v>
                </c:pt>
                <c:pt idx="46">
                  <c:v>4.6518179999999996</c:v>
                </c:pt>
                <c:pt idx="47">
                  <c:v>4.7527270000000001</c:v>
                </c:pt>
                <c:pt idx="48">
                  <c:v>4.8536359999999998</c:v>
                </c:pt>
                <c:pt idx="49">
                  <c:v>4.9545450000000004</c:v>
                </c:pt>
                <c:pt idx="50">
                  <c:v>5.0554550000000003</c:v>
                </c:pt>
                <c:pt idx="51">
                  <c:v>5.1563639999999999</c:v>
                </c:pt>
                <c:pt idx="52">
                  <c:v>5.2572729999999996</c:v>
                </c:pt>
                <c:pt idx="53">
                  <c:v>5.3581820000000002</c:v>
                </c:pt>
                <c:pt idx="54">
                  <c:v>5.4590909999999999</c:v>
                </c:pt>
                <c:pt idx="55">
                  <c:v>5.56</c:v>
                </c:pt>
                <c:pt idx="56">
                  <c:v>5.6609090000000002</c:v>
                </c:pt>
                <c:pt idx="57">
                  <c:v>5.7618179999999999</c:v>
                </c:pt>
                <c:pt idx="58">
                  <c:v>5.8627269999999996</c:v>
                </c:pt>
                <c:pt idx="59">
                  <c:v>5.9636360000000002</c:v>
                </c:pt>
                <c:pt idx="60">
                  <c:v>6.0645449999999999</c:v>
                </c:pt>
                <c:pt idx="61">
                  <c:v>6.1654549999999997</c:v>
                </c:pt>
                <c:pt idx="62">
                  <c:v>6.2663640000000003</c:v>
                </c:pt>
                <c:pt idx="63">
                  <c:v>6.367273</c:v>
                </c:pt>
                <c:pt idx="64">
                  <c:v>6.4681819999999997</c:v>
                </c:pt>
                <c:pt idx="65">
                  <c:v>6.5690910000000002</c:v>
                </c:pt>
                <c:pt idx="66">
                  <c:v>6.67</c:v>
                </c:pt>
                <c:pt idx="67">
                  <c:v>6.7709089999999996</c:v>
                </c:pt>
                <c:pt idx="68">
                  <c:v>6.8718180000000002</c:v>
                </c:pt>
                <c:pt idx="69">
                  <c:v>6.9727269999999999</c:v>
                </c:pt>
                <c:pt idx="70">
                  <c:v>7.0736359999999996</c:v>
                </c:pt>
                <c:pt idx="71">
                  <c:v>7.1745450000000002</c:v>
                </c:pt>
                <c:pt idx="72">
                  <c:v>7.275455</c:v>
                </c:pt>
                <c:pt idx="73">
                  <c:v>7.3763639999999997</c:v>
                </c:pt>
                <c:pt idx="74">
                  <c:v>7.4772730000000003</c:v>
                </c:pt>
                <c:pt idx="75">
                  <c:v>7.578182</c:v>
                </c:pt>
                <c:pt idx="76">
                  <c:v>7.6790909999999997</c:v>
                </c:pt>
                <c:pt idx="77">
                  <c:v>7.78</c:v>
                </c:pt>
                <c:pt idx="78">
                  <c:v>7.8809089999999999</c:v>
                </c:pt>
                <c:pt idx="79">
                  <c:v>7.9818179999999996</c:v>
                </c:pt>
                <c:pt idx="80">
                  <c:v>8.0827270000000002</c:v>
                </c:pt>
                <c:pt idx="81">
                  <c:v>8.1836359999999999</c:v>
                </c:pt>
                <c:pt idx="82">
                  <c:v>8.2845449999999996</c:v>
                </c:pt>
                <c:pt idx="83">
                  <c:v>8.3854550000000003</c:v>
                </c:pt>
                <c:pt idx="84">
                  <c:v>8.486364</c:v>
                </c:pt>
                <c:pt idx="85">
                  <c:v>8.5872729999999997</c:v>
                </c:pt>
                <c:pt idx="86">
                  <c:v>8.6881819999999994</c:v>
                </c:pt>
                <c:pt idx="87">
                  <c:v>8.7890910000000009</c:v>
                </c:pt>
                <c:pt idx="88">
                  <c:v>8.89</c:v>
                </c:pt>
                <c:pt idx="89">
                  <c:v>8.9909090000000003</c:v>
                </c:pt>
                <c:pt idx="90">
                  <c:v>9.091818</c:v>
                </c:pt>
                <c:pt idx="91">
                  <c:v>9.1927269999999996</c:v>
                </c:pt>
                <c:pt idx="92">
                  <c:v>9.2936359999999993</c:v>
                </c:pt>
                <c:pt idx="93">
                  <c:v>9.3945450000000008</c:v>
                </c:pt>
                <c:pt idx="94">
                  <c:v>9.4954549999999998</c:v>
                </c:pt>
                <c:pt idx="95">
                  <c:v>9.5963639999999995</c:v>
                </c:pt>
                <c:pt idx="96">
                  <c:v>9.6972729999999991</c:v>
                </c:pt>
                <c:pt idx="97">
                  <c:v>9.7981820000000006</c:v>
                </c:pt>
                <c:pt idx="98">
                  <c:v>9.8990910000000003</c:v>
                </c:pt>
                <c:pt idx="99">
                  <c:v>10</c:v>
                </c:pt>
              </c:numCache>
            </c:numRef>
          </c:cat>
          <c:val>
            <c:numRef>
              <c:f>Burr!$E$9:$E$108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D9-483D-8C8F-9BE633A77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Burr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Burr!$F$8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Burr!$D$9:$D$108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0.11090899999999999</c:v>
                </c:pt>
                <c:pt idx="2">
                  <c:v>0.21181800000000001</c:v>
                </c:pt>
                <c:pt idx="3">
                  <c:v>0.31272699999999998</c:v>
                </c:pt>
                <c:pt idx="4">
                  <c:v>0.413636</c:v>
                </c:pt>
                <c:pt idx="5">
                  <c:v>0.51454500000000003</c:v>
                </c:pt>
                <c:pt idx="6">
                  <c:v>0.61545499999999997</c:v>
                </c:pt>
                <c:pt idx="7">
                  <c:v>0.716364</c:v>
                </c:pt>
                <c:pt idx="8">
                  <c:v>0.81727300000000003</c:v>
                </c:pt>
                <c:pt idx="9">
                  <c:v>0.91818200000000005</c:v>
                </c:pt>
                <c:pt idx="10">
                  <c:v>1.019091</c:v>
                </c:pt>
                <c:pt idx="11">
                  <c:v>1.1200000000000001</c:v>
                </c:pt>
                <c:pt idx="12">
                  <c:v>1.220909</c:v>
                </c:pt>
                <c:pt idx="13">
                  <c:v>1.3218179999999999</c:v>
                </c:pt>
                <c:pt idx="14">
                  <c:v>1.4227270000000001</c:v>
                </c:pt>
                <c:pt idx="15">
                  <c:v>1.523636</c:v>
                </c:pt>
                <c:pt idx="16">
                  <c:v>1.6245449999999999</c:v>
                </c:pt>
                <c:pt idx="17">
                  <c:v>1.725455</c:v>
                </c:pt>
                <c:pt idx="18">
                  <c:v>1.8263640000000001</c:v>
                </c:pt>
                <c:pt idx="19">
                  <c:v>1.927273</c:v>
                </c:pt>
                <c:pt idx="20">
                  <c:v>2.0281820000000002</c:v>
                </c:pt>
                <c:pt idx="21">
                  <c:v>2.1290909999999998</c:v>
                </c:pt>
                <c:pt idx="22">
                  <c:v>2.23</c:v>
                </c:pt>
                <c:pt idx="23">
                  <c:v>2.3309090000000001</c:v>
                </c:pt>
                <c:pt idx="24">
                  <c:v>2.4318179999999998</c:v>
                </c:pt>
                <c:pt idx="25">
                  <c:v>2.532727</c:v>
                </c:pt>
                <c:pt idx="26">
                  <c:v>2.6336360000000001</c:v>
                </c:pt>
                <c:pt idx="27">
                  <c:v>2.7345449999999998</c:v>
                </c:pt>
                <c:pt idx="28">
                  <c:v>2.8354550000000001</c:v>
                </c:pt>
                <c:pt idx="29">
                  <c:v>2.9363640000000002</c:v>
                </c:pt>
                <c:pt idx="30">
                  <c:v>3.0372729999999999</c:v>
                </c:pt>
                <c:pt idx="31">
                  <c:v>3.138182</c:v>
                </c:pt>
                <c:pt idx="32">
                  <c:v>3.2390910000000002</c:v>
                </c:pt>
                <c:pt idx="33">
                  <c:v>3.34</c:v>
                </c:pt>
                <c:pt idx="34">
                  <c:v>3.440909</c:v>
                </c:pt>
                <c:pt idx="35">
                  <c:v>3.5418180000000001</c:v>
                </c:pt>
                <c:pt idx="36">
                  <c:v>3.6427269999999998</c:v>
                </c:pt>
                <c:pt idx="37">
                  <c:v>3.743636</c:v>
                </c:pt>
                <c:pt idx="38">
                  <c:v>3.8445450000000001</c:v>
                </c:pt>
                <c:pt idx="39">
                  <c:v>3.9454549999999999</c:v>
                </c:pt>
                <c:pt idx="40">
                  <c:v>4.0463639999999996</c:v>
                </c:pt>
                <c:pt idx="41">
                  <c:v>4.1472730000000002</c:v>
                </c:pt>
                <c:pt idx="42">
                  <c:v>4.2481819999999999</c:v>
                </c:pt>
                <c:pt idx="43">
                  <c:v>4.3490909999999996</c:v>
                </c:pt>
                <c:pt idx="44">
                  <c:v>4.45</c:v>
                </c:pt>
                <c:pt idx="45">
                  <c:v>4.5509089999999999</c:v>
                </c:pt>
                <c:pt idx="46">
                  <c:v>4.6518179999999996</c:v>
                </c:pt>
                <c:pt idx="47">
                  <c:v>4.7527270000000001</c:v>
                </c:pt>
                <c:pt idx="48">
                  <c:v>4.8536359999999998</c:v>
                </c:pt>
                <c:pt idx="49">
                  <c:v>4.9545450000000004</c:v>
                </c:pt>
                <c:pt idx="50">
                  <c:v>5.0554550000000003</c:v>
                </c:pt>
                <c:pt idx="51">
                  <c:v>5.1563639999999999</c:v>
                </c:pt>
                <c:pt idx="52">
                  <c:v>5.2572729999999996</c:v>
                </c:pt>
                <c:pt idx="53">
                  <c:v>5.3581820000000002</c:v>
                </c:pt>
                <c:pt idx="54">
                  <c:v>5.4590909999999999</c:v>
                </c:pt>
                <c:pt idx="55">
                  <c:v>5.56</c:v>
                </c:pt>
                <c:pt idx="56">
                  <c:v>5.6609090000000002</c:v>
                </c:pt>
                <c:pt idx="57">
                  <c:v>5.7618179999999999</c:v>
                </c:pt>
                <c:pt idx="58">
                  <c:v>5.8627269999999996</c:v>
                </c:pt>
                <c:pt idx="59">
                  <c:v>5.9636360000000002</c:v>
                </c:pt>
                <c:pt idx="60">
                  <c:v>6.0645449999999999</c:v>
                </c:pt>
                <c:pt idx="61">
                  <c:v>6.1654549999999997</c:v>
                </c:pt>
                <c:pt idx="62">
                  <c:v>6.2663640000000003</c:v>
                </c:pt>
                <c:pt idx="63">
                  <c:v>6.367273</c:v>
                </c:pt>
                <c:pt idx="64">
                  <c:v>6.4681819999999997</c:v>
                </c:pt>
                <c:pt idx="65">
                  <c:v>6.5690910000000002</c:v>
                </c:pt>
                <c:pt idx="66">
                  <c:v>6.67</c:v>
                </c:pt>
                <c:pt idx="67">
                  <c:v>6.7709089999999996</c:v>
                </c:pt>
                <c:pt idx="68">
                  <c:v>6.8718180000000002</c:v>
                </c:pt>
                <c:pt idx="69">
                  <c:v>6.9727269999999999</c:v>
                </c:pt>
                <c:pt idx="70">
                  <c:v>7.0736359999999996</c:v>
                </c:pt>
                <c:pt idx="71">
                  <c:v>7.1745450000000002</c:v>
                </c:pt>
                <c:pt idx="72">
                  <c:v>7.275455</c:v>
                </c:pt>
                <c:pt idx="73">
                  <c:v>7.3763639999999997</c:v>
                </c:pt>
                <c:pt idx="74">
                  <c:v>7.4772730000000003</c:v>
                </c:pt>
                <c:pt idx="75">
                  <c:v>7.578182</c:v>
                </c:pt>
                <c:pt idx="76">
                  <c:v>7.6790909999999997</c:v>
                </c:pt>
                <c:pt idx="77">
                  <c:v>7.78</c:v>
                </c:pt>
                <c:pt idx="78">
                  <c:v>7.8809089999999999</c:v>
                </c:pt>
                <c:pt idx="79">
                  <c:v>7.9818179999999996</c:v>
                </c:pt>
                <c:pt idx="80">
                  <c:v>8.0827270000000002</c:v>
                </c:pt>
                <c:pt idx="81">
                  <c:v>8.1836359999999999</c:v>
                </c:pt>
                <c:pt idx="82">
                  <c:v>8.2845449999999996</c:v>
                </c:pt>
                <c:pt idx="83">
                  <c:v>8.3854550000000003</c:v>
                </c:pt>
                <c:pt idx="84">
                  <c:v>8.486364</c:v>
                </c:pt>
                <c:pt idx="85">
                  <c:v>8.5872729999999997</c:v>
                </c:pt>
                <c:pt idx="86">
                  <c:v>8.6881819999999994</c:v>
                </c:pt>
                <c:pt idx="87">
                  <c:v>8.7890910000000009</c:v>
                </c:pt>
                <c:pt idx="88">
                  <c:v>8.89</c:v>
                </c:pt>
                <c:pt idx="89">
                  <c:v>8.9909090000000003</c:v>
                </c:pt>
                <c:pt idx="90">
                  <c:v>9.091818</c:v>
                </c:pt>
                <c:pt idx="91">
                  <c:v>9.1927269999999996</c:v>
                </c:pt>
                <c:pt idx="92">
                  <c:v>9.2936359999999993</c:v>
                </c:pt>
                <c:pt idx="93">
                  <c:v>9.3945450000000008</c:v>
                </c:pt>
                <c:pt idx="94">
                  <c:v>9.4954549999999998</c:v>
                </c:pt>
                <c:pt idx="95">
                  <c:v>9.5963639999999995</c:v>
                </c:pt>
                <c:pt idx="96">
                  <c:v>9.6972729999999991</c:v>
                </c:pt>
                <c:pt idx="97">
                  <c:v>9.7981820000000006</c:v>
                </c:pt>
                <c:pt idx="98">
                  <c:v>9.8990910000000003</c:v>
                </c:pt>
                <c:pt idx="99">
                  <c:v>10</c:v>
                </c:pt>
              </c:numCache>
            </c:numRef>
          </c:cat>
          <c:val>
            <c:numRef>
              <c:f>Burr!$F$9:$F$108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6F-49CC-ADF3-DBA4E8870CCB}"/>
            </c:ext>
          </c:extLst>
        </c:ser>
        <c:ser>
          <c:idx val="1"/>
          <c:order val="1"/>
          <c:tx>
            <c:strRef>
              <c:f>Burr!$G$8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Burr!$D$9:$D$108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0.11090899999999999</c:v>
                </c:pt>
                <c:pt idx="2">
                  <c:v>0.21181800000000001</c:v>
                </c:pt>
                <c:pt idx="3">
                  <c:v>0.31272699999999998</c:v>
                </c:pt>
                <c:pt idx="4">
                  <c:v>0.413636</c:v>
                </c:pt>
                <c:pt idx="5">
                  <c:v>0.51454500000000003</c:v>
                </c:pt>
                <c:pt idx="6">
                  <c:v>0.61545499999999997</c:v>
                </c:pt>
                <c:pt idx="7">
                  <c:v>0.716364</c:v>
                </c:pt>
                <c:pt idx="8">
                  <c:v>0.81727300000000003</c:v>
                </c:pt>
                <c:pt idx="9">
                  <c:v>0.91818200000000005</c:v>
                </c:pt>
                <c:pt idx="10">
                  <c:v>1.019091</c:v>
                </c:pt>
                <c:pt idx="11">
                  <c:v>1.1200000000000001</c:v>
                </c:pt>
                <c:pt idx="12">
                  <c:v>1.220909</c:v>
                </c:pt>
                <c:pt idx="13">
                  <c:v>1.3218179999999999</c:v>
                </c:pt>
                <c:pt idx="14">
                  <c:v>1.4227270000000001</c:v>
                </c:pt>
                <c:pt idx="15">
                  <c:v>1.523636</c:v>
                </c:pt>
                <c:pt idx="16">
                  <c:v>1.6245449999999999</c:v>
                </c:pt>
                <c:pt idx="17">
                  <c:v>1.725455</c:v>
                </c:pt>
                <c:pt idx="18">
                  <c:v>1.8263640000000001</c:v>
                </c:pt>
                <c:pt idx="19">
                  <c:v>1.927273</c:v>
                </c:pt>
                <c:pt idx="20">
                  <c:v>2.0281820000000002</c:v>
                </c:pt>
                <c:pt idx="21">
                  <c:v>2.1290909999999998</c:v>
                </c:pt>
                <c:pt idx="22">
                  <c:v>2.23</c:v>
                </c:pt>
                <c:pt idx="23">
                  <c:v>2.3309090000000001</c:v>
                </c:pt>
                <c:pt idx="24">
                  <c:v>2.4318179999999998</c:v>
                </c:pt>
                <c:pt idx="25">
                  <c:v>2.532727</c:v>
                </c:pt>
                <c:pt idx="26">
                  <c:v>2.6336360000000001</c:v>
                </c:pt>
                <c:pt idx="27">
                  <c:v>2.7345449999999998</c:v>
                </c:pt>
                <c:pt idx="28">
                  <c:v>2.8354550000000001</c:v>
                </c:pt>
                <c:pt idx="29">
                  <c:v>2.9363640000000002</c:v>
                </c:pt>
                <c:pt idx="30">
                  <c:v>3.0372729999999999</c:v>
                </c:pt>
                <c:pt idx="31">
                  <c:v>3.138182</c:v>
                </c:pt>
                <c:pt idx="32">
                  <c:v>3.2390910000000002</c:v>
                </c:pt>
                <c:pt idx="33">
                  <c:v>3.34</c:v>
                </c:pt>
                <c:pt idx="34">
                  <c:v>3.440909</c:v>
                </c:pt>
                <c:pt idx="35">
                  <c:v>3.5418180000000001</c:v>
                </c:pt>
                <c:pt idx="36">
                  <c:v>3.6427269999999998</c:v>
                </c:pt>
                <c:pt idx="37">
                  <c:v>3.743636</c:v>
                </c:pt>
                <c:pt idx="38">
                  <c:v>3.8445450000000001</c:v>
                </c:pt>
                <c:pt idx="39">
                  <c:v>3.9454549999999999</c:v>
                </c:pt>
                <c:pt idx="40">
                  <c:v>4.0463639999999996</c:v>
                </c:pt>
                <c:pt idx="41">
                  <c:v>4.1472730000000002</c:v>
                </c:pt>
                <c:pt idx="42">
                  <c:v>4.2481819999999999</c:v>
                </c:pt>
                <c:pt idx="43">
                  <c:v>4.3490909999999996</c:v>
                </c:pt>
                <c:pt idx="44">
                  <c:v>4.45</c:v>
                </c:pt>
                <c:pt idx="45">
                  <c:v>4.5509089999999999</c:v>
                </c:pt>
                <c:pt idx="46">
                  <c:v>4.6518179999999996</c:v>
                </c:pt>
                <c:pt idx="47">
                  <c:v>4.7527270000000001</c:v>
                </c:pt>
                <c:pt idx="48">
                  <c:v>4.8536359999999998</c:v>
                </c:pt>
                <c:pt idx="49">
                  <c:v>4.9545450000000004</c:v>
                </c:pt>
                <c:pt idx="50">
                  <c:v>5.0554550000000003</c:v>
                </c:pt>
                <c:pt idx="51">
                  <c:v>5.1563639999999999</c:v>
                </c:pt>
                <c:pt idx="52">
                  <c:v>5.2572729999999996</c:v>
                </c:pt>
                <c:pt idx="53">
                  <c:v>5.3581820000000002</c:v>
                </c:pt>
                <c:pt idx="54">
                  <c:v>5.4590909999999999</c:v>
                </c:pt>
                <c:pt idx="55">
                  <c:v>5.56</c:v>
                </c:pt>
                <c:pt idx="56">
                  <c:v>5.6609090000000002</c:v>
                </c:pt>
                <c:pt idx="57">
                  <c:v>5.7618179999999999</c:v>
                </c:pt>
                <c:pt idx="58">
                  <c:v>5.8627269999999996</c:v>
                </c:pt>
                <c:pt idx="59">
                  <c:v>5.9636360000000002</c:v>
                </c:pt>
                <c:pt idx="60">
                  <c:v>6.0645449999999999</c:v>
                </c:pt>
                <c:pt idx="61">
                  <c:v>6.1654549999999997</c:v>
                </c:pt>
                <c:pt idx="62">
                  <c:v>6.2663640000000003</c:v>
                </c:pt>
                <c:pt idx="63">
                  <c:v>6.367273</c:v>
                </c:pt>
                <c:pt idx="64">
                  <c:v>6.4681819999999997</c:v>
                </c:pt>
                <c:pt idx="65">
                  <c:v>6.5690910000000002</c:v>
                </c:pt>
                <c:pt idx="66">
                  <c:v>6.67</c:v>
                </c:pt>
                <c:pt idx="67">
                  <c:v>6.7709089999999996</c:v>
                </c:pt>
                <c:pt idx="68">
                  <c:v>6.8718180000000002</c:v>
                </c:pt>
                <c:pt idx="69">
                  <c:v>6.9727269999999999</c:v>
                </c:pt>
                <c:pt idx="70">
                  <c:v>7.0736359999999996</c:v>
                </c:pt>
                <c:pt idx="71">
                  <c:v>7.1745450000000002</c:v>
                </c:pt>
                <c:pt idx="72">
                  <c:v>7.275455</c:v>
                </c:pt>
                <c:pt idx="73">
                  <c:v>7.3763639999999997</c:v>
                </c:pt>
                <c:pt idx="74">
                  <c:v>7.4772730000000003</c:v>
                </c:pt>
                <c:pt idx="75">
                  <c:v>7.578182</c:v>
                </c:pt>
                <c:pt idx="76">
                  <c:v>7.6790909999999997</c:v>
                </c:pt>
                <c:pt idx="77">
                  <c:v>7.78</c:v>
                </c:pt>
                <c:pt idx="78">
                  <c:v>7.8809089999999999</c:v>
                </c:pt>
                <c:pt idx="79">
                  <c:v>7.9818179999999996</c:v>
                </c:pt>
                <c:pt idx="80">
                  <c:v>8.0827270000000002</c:v>
                </c:pt>
                <c:pt idx="81">
                  <c:v>8.1836359999999999</c:v>
                </c:pt>
                <c:pt idx="82">
                  <c:v>8.2845449999999996</c:v>
                </c:pt>
                <c:pt idx="83">
                  <c:v>8.3854550000000003</c:v>
                </c:pt>
                <c:pt idx="84">
                  <c:v>8.486364</c:v>
                </c:pt>
                <c:pt idx="85">
                  <c:v>8.5872729999999997</c:v>
                </c:pt>
                <c:pt idx="86">
                  <c:v>8.6881819999999994</c:v>
                </c:pt>
                <c:pt idx="87">
                  <c:v>8.7890910000000009</c:v>
                </c:pt>
                <c:pt idx="88">
                  <c:v>8.89</c:v>
                </c:pt>
                <c:pt idx="89">
                  <c:v>8.9909090000000003</c:v>
                </c:pt>
                <c:pt idx="90">
                  <c:v>9.091818</c:v>
                </c:pt>
                <c:pt idx="91">
                  <c:v>9.1927269999999996</c:v>
                </c:pt>
                <c:pt idx="92">
                  <c:v>9.2936359999999993</c:v>
                </c:pt>
                <c:pt idx="93">
                  <c:v>9.3945450000000008</c:v>
                </c:pt>
                <c:pt idx="94">
                  <c:v>9.4954549999999998</c:v>
                </c:pt>
                <c:pt idx="95">
                  <c:v>9.5963639999999995</c:v>
                </c:pt>
                <c:pt idx="96">
                  <c:v>9.6972729999999991</c:v>
                </c:pt>
                <c:pt idx="97">
                  <c:v>9.7981820000000006</c:v>
                </c:pt>
                <c:pt idx="98">
                  <c:v>9.8990910000000003</c:v>
                </c:pt>
                <c:pt idx="99">
                  <c:v>10</c:v>
                </c:pt>
              </c:numCache>
            </c:numRef>
          </c:cat>
          <c:val>
            <c:numRef>
              <c:f>Burr!$G$9:$G$108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6F-49CC-ADF3-DBA4E8870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LN-Pareto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'LN-Pareto'!$E$8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'LN-Pareto'!$D$9:$D$108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0.60404000000000002</c:v>
                </c:pt>
                <c:pt idx="2">
                  <c:v>1.1080810000000001</c:v>
                </c:pt>
                <c:pt idx="3">
                  <c:v>1.6121209999999999</c:v>
                </c:pt>
                <c:pt idx="4">
                  <c:v>2.1161620000000001</c:v>
                </c:pt>
                <c:pt idx="5">
                  <c:v>2.6202019999999999</c:v>
                </c:pt>
                <c:pt idx="6">
                  <c:v>3.1242420000000002</c:v>
                </c:pt>
                <c:pt idx="7">
                  <c:v>3.6282830000000001</c:v>
                </c:pt>
                <c:pt idx="8">
                  <c:v>4.1323230000000004</c:v>
                </c:pt>
                <c:pt idx="9">
                  <c:v>4.6363640000000004</c:v>
                </c:pt>
                <c:pt idx="10">
                  <c:v>5.1404040000000002</c:v>
                </c:pt>
                <c:pt idx="11">
                  <c:v>5.644444</c:v>
                </c:pt>
                <c:pt idx="12">
                  <c:v>6.148485</c:v>
                </c:pt>
                <c:pt idx="13">
                  <c:v>6.6525249999999998</c:v>
                </c:pt>
                <c:pt idx="14">
                  <c:v>7.1565659999999998</c:v>
                </c:pt>
                <c:pt idx="15">
                  <c:v>7.6606059999999996</c:v>
                </c:pt>
                <c:pt idx="16">
                  <c:v>8.1646459999999994</c:v>
                </c:pt>
                <c:pt idx="17">
                  <c:v>8.6686870000000003</c:v>
                </c:pt>
                <c:pt idx="18">
                  <c:v>9.1727270000000001</c:v>
                </c:pt>
                <c:pt idx="19">
                  <c:v>9.6767679999999991</c:v>
                </c:pt>
                <c:pt idx="20">
                  <c:v>10.180808000000001</c:v>
                </c:pt>
                <c:pt idx="21">
                  <c:v>10.684848000000001</c:v>
                </c:pt>
                <c:pt idx="22">
                  <c:v>11.188889</c:v>
                </c:pt>
                <c:pt idx="23">
                  <c:v>11.692928999999999</c:v>
                </c:pt>
                <c:pt idx="24">
                  <c:v>12.19697</c:v>
                </c:pt>
                <c:pt idx="25">
                  <c:v>12.70101</c:v>
                </c:pt>
                <c:pt idx="26">
                  <c:v>13.205050999999999</c:v>
                </c:pt>
                <c:pt idx="27">
                  <c:v>13.709091000000001</c:v>
                </c:pt>
                <c:pt idx="28">
                  <c:v>14.213131000000001</c:v>
                </c:pt>
                <c:pt idx="29">
                  <c:v>14.717172</c:v>
                </c:pt>
                <c:pt idx="30">
                  <c:v>15.221212</c:v>
                </c:pt>
                <c:pt idx="31">
                  <c:v>15.725253</c:v>
                </c:pt>
                <c:pt idx="32">
                  <c:v>16.229292999999998</c:v>
                </c:pt>
                <c:pt idx="33">
                  <c:v>16.733332999999998</c:v>
                </c:pt>
                <c:pt idx="34">
                  <c:v>17.237373999999999</c:v>
                </c:pt>
                <c:pt idx="35">
                  <c:v>17.741413999999999</c:v>
                </c:pt>
                <c:pt idx="36">
                  <c:v>18.245455</c:v>
                </c:pt>
                <c:pt idx="37">
                  <c:v>18.749495</c:v>
                </c:pt>
                <c:pt idx="38">
                  <c:v>19.253534999999999</c:v>
                </c:pt>
                <c:pt idx="39">
                  <c:v>19.757576</c:v>
                </c:pt>
                <c:pt idx="40">
                  <c:v>20.261616</c:v>
                </c:pt>
                <c:pt idx="41">
                  <c:v>20.765657000000001</c:v>
                </c:pt>
                <c:pt idx="42">
                  <c:v>21.269697000000001</c:v>
                </c:pt>
                <c:pt idx="43">
                  <c:v>21.773737000000001</c:v>
                </c:pt>
                <c:pt idx="44">
                  <c:v>22.277778000000001</c:v>
                </c:pt>
                <c:pt idx="45">
                  <c:v>22.781818000000001</c:v>
                </c:pt>
                <c:pt idx="46">
                  <c:v>23.285858999999999</c:v>
                </c:pt>
                <c:pt idx="47">
                  <c:v>23.789898999999998</c:v>
                </c:pt>
                <c:pt idx="48">
                  <c:v>24.293939000000002</c:v>
                </c:pt>
                <c:pt idx="49">
                  <c:v>24.797979999999999</c:v>
                </c:pt>
                <c:pt idx="50">
                  <c:v>25.302019999999999</c:v>
                </c:pt>
                <c:pt idx="51">
                  <c:v>25.806061</c:v>
                </c:pt>
                <c:pt idx="52">
                  <c:v>26.310101</c:v>
                </c:pt>
                <c:pt idx="53">
                  <c:v>26.814140999999999</c:v>
                </c:pt>
                <c:pt idx="54">
                  <c:v>27.318182</c:v>
                </c:pt>
                <c:pt idx="55">
                  <c:v>27.822222</c:v>
                </c:pt>
                <c:pt idx="56">
                  <c:v>28.326263000000001</c:v>
                </c:pt>
                <c:pt idx="57">
                  <c:v>28.830303000000001</c:v>
                </c:pt>
                <c:pt idx="58">
                  <c:v>29.334343000000001</c:v>
                </c:pt>
                <c:pt idx="59">
                  <c:v>29.838384000000001</c:v>
                </c:pt>
                <c:pt idx="60">
                  <c:v>30.342424000000001</c:v>
                </c:pt>
                <c:pt idx="61">
                  <c:v>30.846464999999998</c:v>
                </c:pt>
                <c:pt idx="62">
                  <c:v>31.350504999999998</c:v>
                </c:pt>
                <c:pt idx="63">
                  <c:v>31.854545000000002</c:v>
                </c:pt>
                <c:pt idx="64">
                  <c:v>32.358586000000003</c:v>
                </c:pt>
                <c:pt idx="65">
                  <c:v>32.862625999999999</c:v>
                </c:pt>
                <c:pt idx="66">
                  <c:v>33.366667</c:v>
                </c:pt>
                <c:pt idx="67">
                  <c:v>33.870707000000003</c:v>
                </c:pt>
                <c:pt idx="68">
                  <c:v>34.374746999999999</c:v>
                </c:pt>
                <c:pt idx="69">
                  <c:v>34.878788</c:v>
                </c:pt>
                <c:pt idx="70">
                  <c:v>35.382828000000003</c:v>
                </c:pt>
                <c:pt idx="71">
                  <c:v>35.886868999999997</c:v>
                </c:pt>
                <c:pt idx="72">
                  <c:v>36.390909000000001</c:v>
                </c:pt>
                <c:pt idx="73">
                  <c:v>36.894948999999997</c:v>
                </c:pt>
                <c:pt idx="74">
                  <c:v>37.398989999999998</c:v>
                </c:pt>
                <c:pt idx="75">
                  <c:v>37.903030000000001</c:v>
                </c:pt>
                <c:pt idx="76">
                  <c:v>38.407071000000002</c:v>
                </c:pt>
                <c:pt idx="77">
                  <c:v>38.911110999999998</c:v>
                </c:pt>
                <c:pt idx="78">
                  <c:v>39.415151999999999</c:v>
                </c:pt>
                <c:pt idx="79">
                  <c:v>39.919192000000002</c:v>
                </c:pt>
                <c:pt idx="80">
                  <c:v>40.423231999999999</c:v>
                </c:pt>
                <c:pt idx="81">
                  <c:v>40.927273</c:v>
                </c:pt>
                <c:pt idx="82">
                  <c:v>41.431313000000003</c:v>
                </c:pt>
                <c:pt idx="83">
                  <c:v>41.935353999999997</c:v>
                </c:pt>
                <c:pt idx="84">
                  <c:v>42.439394</c:v>
                </c:pt>
                <c:pt idx="85">
                  <c:v>42.943434000000003</c:v>
                </c:pt>
                <c:pt idx="86">
                  <c:v>43.447474999999997</c:v>
                </c:pt>
                <c:pt idx="87">
                  <c:v>43.951515000000001</c:v>
                </c:pt>
                <c:pt idx="88">
                  <c:v>44.455556000000001</c:v>
                </c:pt>
                <c:pt idx="89">
                  <c:v>44.959595999999998</c:v>
                </c:pt>
                <c:pt idx="90">
                  <c:v>45.463636000000001</c:v>
                </c:pt>
                <c:pt idx="91">
                  <c:v>45.967677000000002</c:v>
                </c:pt>
                <c:pt idx="92">
                  <c:v>46.471716999999998</c:v>
                </c:pt>
                <c:pt idx="93">
                  <c:v>46.975757999999999</c:v>
                </c:pt>
                <c:pt idx="94">
                  <c:v>47.479798000000002</c:v>
                </c:pt>
                <c:pt idx="95">
                  <c:v>47.983837999999999</c:v>
                </c:pt>
                <c:pt idx="96">
                  <c:v>48.487879</c:v>
                </c:pt>
                <c:pt idx="97">
                  <c:v>48.991919000000003</c:v>
                </c:pt>
                <c:pt idx="98">
                  <c:v>49.495959999999997</c:v>
                </c:pt>
                <c:pt idx="99">
                  <c:v>50</c:v>
                </c:pt>
              </c:numCache>
            </c:numRef>
          </c:cat>
          <c:val>
            <c:numRef>
              <c:f>'LN-Pareto'!$E$9:$E$108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F6-4253-9E5D-F05580069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LN-Pareto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'LN-Pareto'!$F$8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'LN-Pareto'!$D$9:$D$108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0.60404000000000002</c:v>
                </c:pt>
                <c:pt idx="2">
                  <c:v>1.1080810000000001</c:v>
                </c:pt>
                <c:pt idx="3">
                  <c:v>1.6121209999999999</c:v>
                </c:pt>
                <c:pt idx="4">
                  <c:v>2.1161620000000001</c:v>
                </c:pt>
                <c:pt idx="5">
                  <c:v>2.6202019999999999</c:v>
                </c:pt>
                <c:pt idx="6">
                  <c:v>3.1242420000000002</c:v>
                </c:pt>
                <c:pt idx="7">
                  <c:v>3.6282830000000001</c:v>
                </c:pt>
                <c:pt idx="8">
                  <c:v>4.1323230000000004</c:v>
                </c:pt>
                <c:pt idx="9">
                  <c:v>4.6363640000000004</c:v>
                </c:pt>
                <c:pt idx="10">
                  <c:v>5.1404040000000002</c:v>
                </c:pt>
                <c:pt idx="11">
                  <c:v>5.644444</c:v>
                </c:pt>
                <c:pt idx="12">
                  <c:v>6.148485</c:v>
                </c:pt>
                <c:pt idx="13">
                  <c:v>6.6525249999999998</c:v>
                </c:pt>
                <c:pt idx="14">
                  <c:v>7.1565659999999998</c:v>
                </c:pt>
                <c:pt idx="15">
                  <c:v>7.6606059999999996</c:v>
                </c:pt>
                <c:pt idx="16">
                  <c:v>8.1646459999999994</c:v>
                </c:pt>
                <c:pt idx="17">
                  <c:v>8.6686870000000003</c:v>
                </c:pt>
                <c:pt idx="18">
                  <c:v>9.1727270000000001</c:v>
                </c:pt>
                <c:pt idx="19">
                  <c:v>9.6767679999999991</c:v>
                </c:pt>
                <c:pt idx="20">
                  <c:v>10.180808000000001</c:v>
                </c:pt>
                <c:pt idx="21">
                  <c:v>10.684848000000001</c:v>
                </c:pt>
                <c:pt idx="22">
                  <c:v>11.188889</c:v>
                </c:pt>
                <c:pt idx="23">
                  <c:v>11.692928999999999</c:v>
                </c:pt>
                <c:pt idx="24">
                  <c:v>12.19697</c:v>
                </c:pt>
                <c:pt idx="25">
                  <c:v>12.70101</c:v>
                </c:pt>
                <c:pt idx="26">
                  <c:v>13.205050999999999</c:v>
                </c:pt>
                <c:pt idx="27">
                  <c:v>13.709091000000001</c:v>
                </c:pt>
                <c:pt idx="28">
                  <c:v>14.213131000000001</c:v>
                </c:pt>
                <c:pt idx="29">
                  <c:v>14.717172</c:v>
                </c:pt>
                <c:pt idx="30">
                  <c:v>15.221212</c:v>
                </c:pt>
                <c:pt idx="31">
                  <c:v>15.725253</c:v>
                </c:pt>
                <c:pt idx="32">
                  <c:v>16.229292999999998</c:v>
                </c:pt>
                <c:pt idx="33">
                  <c:v>16.733332999999998</c:v>
                </c:pt>
                <c:pt idx="34">
                  <c:v>17.237373999999999</c:v>
                </c:pt>
                <c:pt idx="35">
                  <c:v>17.741413999999999</c:v>
                </c:pt>
                <c:pt idx="36">
                  <c:v>18.245455</c:v>
                </c:pt>
                <c:pt idx="37">
                  <c:v>18.749495</c:v>
                </c:pt>
                <c:pt idx="38">
                  <c:v>19.253534999999999</c:v>
                </c:pt>
                <c:pt idx="39">
                  <c:v>19.757576</c:v>
                </c:pt>
                <c:pt idx="40">
                  <c:v>20.261616</c:v>
                </c:pt>
                <c:pt idx="41">
                  <c:v>20.765657000000001</c:v>
                </c:pt>
                <c:pt idx="42">
                  <c:v>21.269697000000001</c:v>
                </c:pt>
                <c:pt idx="43">
                  <c:v>21.773737000000001</c:v>
                </c:pt>
                <c:pt idx="44">
                  <c:v>22.277778000000001</c:v>
                </c:pt>
                <c:pt idx="45">
                  <c:v>22.781818000000001</c:v>
                </c:pt>
                <c:pt idx="46">
                  <c:v>23.285858999999999</c:v>
                </c:pt>
                <c:pt idx="47">
                  <c:v>23.789898999999998</c:v>
                </c:pt>
                <c:pt idx="48">
                  <c:v>24.293939000000002</c:v>
                </c:pt>
                <c:pt idx="49">
                  <c:v>24.797979999999999</c:v>
                </c:pt>
                <c:pt idx="50">
                  <c:v>25.302019999999999</c:v>
                </c:pt>
                <c:pt idx="51">
                  <c:v>25.806061</c:v>
                </c:pt>
                <c:pt idx="52">
                  <c:v>26.310101</c:v>
                </c:pt>
                <c:pt idx="53">
                  <c:v>26.814140999999999</c:v>
                </c:pt>
                <c:pt idx="54">
                  <c:v>27.318182</c:v>
                </c:pt>
                <c:pt idx="55">
                  <c:v>27.822222</c:v>
                </c:pt>
                <c:pt idx="56">
                  <c:v>28.326263000000001</c:v>
                </c:pt>
                <c:pt idx="57">
                  <c:v>28.830303000000001</c:v>
                </c:pt>
                <c:pt idx="58">
                  <c:v>29.334343000000001</c:v>
                </c:pt>
                <c:pt idx="59">
                  <c:v>29.838384000000001</c:v>
                </c:pt>
                <c:pt idx="60">
                  <c:v>30.342424000000001</c:v>
                </c:pt>
                <c:pt idx="61">
                  <c:v>30.846464999999998</c:v>
                </c:pt>
                <c:pt idx="62">
                  <c:v>31.350504999999998</c:v>
                </c:pt>
                <c:pt idx="63">
                  <c:v>31.854545000000002</c:v>
                </c:pt>
                <c:pt idx="64">
                  <c:v>32.358586000000003</c:v>
                </c:pt>
                <c:pt idx="65">
                  <c:v>32.862625999999999</c:v>
                </c:pt>
                <c:pt idx="66">
                  <c:v>33.366667</c:v>
                </c:pt>
                <c:pt idx="67">
                  <c:v>33.870707000000003</c:v>
                </c:pt>
                <c:pt idx="68">
                  <c:v>34.374746999999999</c:v>
                </c:pt>
                <c:pt idx="69">
                  <c:v>34.878788</c:v>
                </c:pt>
                <c:pt idx="70">
                  <c:v>35.382828000000003</c:v>
                </c:pt>
                <c:pt idx="71">
                  <c:v>35.886868999999997</c:v>
                </c:pt>
                <c:pt idx="72">
                  <c:v>36.390909000000001</c:v>
                </c:pt>
                <c:pt idx="73">
                  <c:v>36.894948999999997</c:v>
                </c:pt>
                <c:pt idx="74">
                  <c:v>37.398989999999998</c:v>
                </c:pt>
                <c:pt idx="75">
                  <c:v>37.903030000000001</c:v>
                </c:pt>
                <c:pt idx="76">
                  <c:v>38.407071000000002</c:v>
                </c:pt>
                <c:pt idx="77">
                  <c:v>38.911110999999998</c:v>
                </c:pt>
                <c:pt idx="78">
                  <c:v>39.415151999999999</c:v>
                </c:pt>
                <c:pt idx="79">
                  <c:v>39.919192000000002</c:v>
                </c:pt>
                <c:pt idx="80">
                  <c:v>40.423231999999999</c:v>
                </c:pt>
                <c:pt idx="81">
                  <c:v>40.927273</c:v>
                </c:pt>
                <c:pt idx="82">
                  <c:v>41.431313000000003</c:v>
                </c:pt>
                <c:pt idx="83">
                  <c:v>41.935353999999997</c:v>
                </c:pt>
                <c:pt idx="84">
                  <c:v>42.439394</c:v>
                </c:pt>
                <c:pt idx="85">
                  <c:v>42.943434000000003</c:v>
                </c:pt>
                <c:pt idx="86">
                  <c:v>43.447474999999997</c:v>
                </c:pt>
                <c:pt idx="87">
                  <c:v>43.951515000000001</c:v>
                </c:pt>
                <c:pt idx="88">
                  <c:v>44.455556000000001</c:v>
                </c:pt>
                <c:pt idx="89">
                  <c:v>44.959595999999998</c:v>
                </c:pt>
                <c:pt idx="90">
                  <c:v>45.463636000000001</c:v>
                </c:pt>
                <c:pt idx="91">
                  <c:v>45.967677000000002</c:v>
                </c:pt>
                <c:pt idx="92">
                  <c:v>46.471716999999998</c:v>
                </c:pt>
                <c:pt idx="93">
                  <c:v>46.975757999999999</c:v>
                </c:pt>
                <c:pt idx="94">
                  <c:v>47.479798000000002</c:v>
                </c:pt>
                <c:pt idx="95">
                  <c:v>47.983837999999999</c:v>
                </c:pt>
                <c:pt idx="96">
                  <c:v>48.487879</c:v>
                </c:pt>
                <c:pt idx="97">
                  <c:v>48.991919000000003</c:v>
                </c:pt>
                <c:pt idx="98">
                  <c:v>49.495959999999997</c:v>
                </c:pt>
                <c:pt idx="99">
                  <c:v>50</c:v>
                </c:pt>
              </c:numCache>
            </c:numRef>
          </c:cat>
          <c:val>
            <c:numRef>
              <c:f>'LN-Pareto'!$F$9:$F$108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3B-4395-B25B-E41262D55C05}"/>
            </c:ext>
          </c:extLst>
        </c:ser>
        <c:ser>
          <c:idx val="1"/>
          <c:order val="1"/>
          <c:tx>
            <c:strRef>
              <c:f>'LN-Pareto'!$G$8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'LN-Pareto'!$D$9:$D$108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0.60404000000000002</c:v>
                </c:pt>
                <c:pt idx="2">
                  <c:v>1.1080810000000001</c:v>
                </c:pt>
                <c:pt idx="3">
                  <c:v>1.6121209999999999</c:v>
                </c:pt>
                <c:pt idx="4">
                  <c:v>2.1161620000000001</c:v>
                </c:pt>
                <c:pt idx="5">
                  <c:v>2.6202019999999999</c:v>
                </c:pt>
                <c:pt idx="6">
                  <c:v>3.1242420000000002</c:v>
                </c:pt>
                <c:pt idx="7">
                  <c:v>3.6282830000000001</c:v>
                </c:pt>
                <c:pt idx="8">
                  <c:v>4.1323230000000004</c:v>
                </c:pt>
                <c:pt idx="9">
                  <c:v>4.6363640000000004</c:v>
                </c:pt>
                <c:pt idx="10">
                  <c:v>5.1404040000000002</c:v>
                </c:pt>
                <c:pt idx="11">
                  <c:v>5.644444</c:v>
                </c:pt>
                <c:pt idx="12">
                  <c:v>6.148485</c:v>
                </c:pt>
                <c:pt idx="13">
                  <c:v>6.6525249999999998</c:v>
                </c:pt>
                <c:pt idx="14">
                  <c:v>7.1565659999999998</c:v>
                </c:pt>
                <c:pt idx="15">
                  <c:v>7.6606059999999996</c:v>
                </c:pt>
                <c:pt idx="16">
                  <c:v>8.1646459999999994</c:v>
                </c:pt>
                <c:pt idx="17">
                  <c:v>8.6686870000000003</c:v>
                </c:pt>
                <c:pt idx="18">
                  <c:v>9.1727270000000001</c:v>
                </c:pt>
                <c:pt idx="19">
                  <c:v>9.6767679999999991</c:v>
                </c:pt>
                <c:pt idx="20">
                  <c:v>10.180808000000001</c:v>
                </c:pt>
                <c:pt idx="21">
                  <c:v>10.684848000000001</c:v>
                </c:pt>
                <c:pt idx="22">
                  <c:v>11.188889</c:v>
                </c:pt>
                <c:pt idx="23">
                  <c:v>11.692928999999999</c:v>
                </c:pt>
                <c:pt idx="24">
                  <c:v>12.19697</c:v>
                </c:pt>
                <c:pt idx="25">
                  <c:v>12.70101</c:v>
                </c:pt>
                <c:pt idx="26">
                  <c:v>13.205050999999999</c:v>
                </c:pt>
                <c:pt idx="27">
                  <c:v>13.709091000000001</c:v>
                </c:pt>
                <c:pt idx="28">
                  <c:v>14.213131000000001</c:v>
                </c:pt>
                <c:pt idx="29">
                  <c:v>14.717172</c:v>
                </c:pt>
                <c:pt idx="30">
                  <c:v>15.221212</c:v>
                </c:pt>
                <c:pt idx="31">
                  <c:v>15.725253</c:v>
                </c:pt>
                <c:pt idx="32">
                  <c:v>16.229292999999998</c:v>
                </c:pt>
                <c:pt idx="33">
                  <c:v>16.733332999999998</c:v>
                </c:pt>
                <c:pt idx="34">
                  <c:v>17.237373999999999</c:v>
                </c:pt>
                <c:pt idx="35">
                  <c:v>17.741413999999999</c:v>
                </c:pt>
                <c:pt idx="36">
                  <c:v>18.245455</c:v>
                </c:pt>
                <c:pt idx="37">
                  <c:v>18.749495</c:v>
                </c:pt>
                <c:pt idx="38">
                  <c:v>19.253534999999999</c:v>
                </c:pt>
                <c:pt idx="39">
                  <c:v>19.757576</c:v>
                </c:pt>
                <c:pt idx="40">
                  <c:v>20.261616</c:v>
                </c:pt>
                <c:pt idx="41">
                  <c:v>20.765657000000001</c:v>
                </c:pt>
                <c:pt idx="42">
                  <c:v>21.269697000000001</c:v>
                </c:pt>
                <c:pt idx="43">
                  <c:v>21.773737000000001</c:v>
                </c:pt>
                <c:pt idx="44">
                  <c:v>22.277778000000001</c:v>
                </c:pt>
                <c:pt idx="45">
                  <c:v>22.781818000000001</c:v>
                </c:pt>
                <c:pt idx="46">
                  <c:v>23.285858999999999</c:v>
                </c:pt>
                <c:pt idx="47">
                  <c:v>23.789898999999998</c:v>
                </c:pt>
                <c:pt idx="48">
                  <c:v>24.293939000000002</c:v>
                </c:pt>
                <c:pt idx="49">
                  <c:v>24.797979999999999</c:v>
                </c:pt>
                <c:pt idx="50">
                  <c:v>25.302019999999999</c:v>
                </c:pt>
                <c:pt idx="51">
                  <c:v>25.806061</c:v>
                </c:pt>
                <c:pt idx="52">
                  <c:v>26.310101</c:v>
                </c:pt>
                <c:pt idx="53">
                  <c:v>26.814140999999999</c:v>
                </c:pt>
                <c:pt idx="54">
                  <c:v>27.318182</c:v>
                </c:pt>
                <c:pt idx="55">
                  <c:v>27.822222</c:v>
                </c:pt>
                <c:pt idx="56">
                  <c:v>28.326263000000001</c:v>
                </c:pt>
                <c:pt idx="57">
                  <c:v>28.830303000000001</c:v>
                </c:pt>
                <c:pt idx="58">
                  <c:v>29.334343000000001</c:v>
                </c:pt>
                <c:pt idx="59">
                  <c:v>29.838384000000001</c:v>
                </c:pt>
                <c:pt idx="60">
                  <c:v>30.342424000000001</c:v>
                </c:pt>
                <c:pt idx="61">
                  <c:v>30.846464999999998</c:v>
                </c:pt>
                <c:pt idx="62">
                  <c:v>31.350504999999998</c:v>
                </c:pt>
                <c:pt idx="63">
                  <c:v>31.854545000000002</c:v>
                </c:pt>
                <c:pt idx="64">
                  <c:v>32.358586000000003</c:v>
                </c:pt>
                <c:pt idx="65">
                  <c:v>32.862625999999999</c:v>
                </c:pt>
                <c:pt idx="66">
                  <c:v>33.366667</c:v>
                </c:pt>
                <c:pt idx="67">
                  <c:v>33.870707000000003</c:v>
                </c:pt>
                <c:pt idx="68">
                  <c:v>34.374746999999999</c:v>
                </c:pt>
                <c:pt idx="69">
                  <c:v>34.878788</c:v>
                </c:pt>
                <c:pt idx="70">
                  <c:v>35.382828000000003</c:v>
                </c:pt>
                <c:pt idx="71">
                  <c:v>35.886868999999997</c:v>
                </c:pt>
                <c:pt idx="72">
                  <c:v>36.390909000000001</c:v>
                </c:pt>
                <c:pt idx="73">
                  <c:v>36.894948999999997</c:v>
                </c:pt>
                <c:pt idx="74">
                  <c:v>37.398989999999998</c:v>
                </c:pt>
                <c:pt idx="75">
                  <c:v>37.903030000000001</c:v>
                </c:pt>
                <c:pt idx="76">
                  <c:v>38.407071000000002</c:v>
                </c:pt>
                <c:pt idx="77">
                  <c:v>38.911110999999998</c:v>
                </c:pt>
                <c:pt idx="78">
                  <c:v>39.415151999999999</c:v>
                </c:pt>
                <c:pt idx="79">
                  <c:v>39.919192000000002</c:v>
                </c:pt>
                <c:pt idx="80">
                  <c:v>40.423231999999999</c:v>
                </c:pt>
                <c:pt idx="81">
                  <c:v>40.927273</c:v>
                </c:pt>
                <c:pt idx="82">
                  <c:v>41.431313000000003</c:v>
                </c:pt>
                <c:pt idx="83">
                  <c:v>41.935353999999997</c:v>
                </c:pt>
                <c:pt idx="84">
                  <c:v>42.439394</c:v>
                </c:pt>
                <c:pt idx="85">
                  <c:v>42.943434000000003</c:v>
                </c:pt>
                <c:pt idx="86">
                  <c:v>43.447474999999997</c:v>
                </c:pt>
                <c:pt idx="87">
                  <c:v>43.951515000000001</c:v>
                </c:pt>
                <c:pt idx="88">
                  <c:v>44.455556000000001</c:v>
                </c:pt>
                <c:pt idx="89">
                  <c:v>44.959595999999998</c:v>
                </c:pt>
                <c:pt idx="90">
                  <c:v>45.463636000000001</c:v>
                </c:pt>
                <c:pt idx="91">
                  <c:v>45.967677000000002</c:v>
                </c:pt>
                <c:pt idx="92">
                  <c:v>46.471716999999998</c:v>
                </c:pt>
                <c:pt idx="93">
                  <c:v>46.975757999999999</c:v>
                </c:pt>
                <c:pt idx="94">
                  <c:v>47.479798000000002</c:v>
                </c:pt>
                <c:pt idx="95">
                  <c:v>47.983837999999999</c:v>
                </c:pt>
                <c:pt idx="96">
                  <c:v>48.487879</c:v>
                </c:pt>
                <c:pt idx="97">
                  <c:v>48.991919000000003</c:v>
                </c:pt>
                <c:pt idx="98">
                  <c:v>49.495959999999997</c:v>
                </c:pt>
                <c:pt idx="99">
                  <c:v>50</c:v>
                </c:pt>
              </c:numCache>
            </c:numRef>
          </c:cat>
          <c:val>
            <c:numRef>
              <c:f>'LN-Pareto'!$G$9:$G$108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3B-4395-B25B-E41262D5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Wei-Pareto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'Wei-Pareto'!$E$8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'Wei-Pareto'!$D$9:$D$108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0.50302999999999998</c:v>
                </c:pt>
                <c:pt idx="2">
                  <c:v>0.90606100000000001</c:v>
                </c:pt>
                <c:pt idx="3">
                  <c:v>1.309091</c:v>
                </c:pt>
                <c:pt idx="4">
                  <c:v>1.712121</c:v>
                </c:pt>
                <c:pt idx="5">
                  <c:v>2.1151520000000001</c:v>
                </c:pt>
                <c:pt idx="6">
                  <c:v>2.5181819999999999</c:v>
                </c:pt>
                <c:pt idx="7">
                  <c:v>2.9212120000000001</c:v>
                </c:pt>
                <c:pt idx="8">
                  <c:v>3.3242419999999999</c:v>
                </c:pt>
                <c:pt idx="9">
                  <c:v>3.7272729999999998</c:v>
                </c:pt>
                <c:pt idx="10">
                  <c:v>4.1303029999999996</c:v>
                </c:pt>
                <c:pt idx="11">
                  <c:v>4.5333329999999998</c:v>
                </c:pt>
                <c:pt idx="12">
                  <c:v>4.9363640000000002</c:v>
                </c:pt>
                <c:pt idx="13">
                  <c:v>5.3393940000000004</c:v>
                </c:pt>
                <c:pt idx="14">
                  <c:v>5.7424239999999998</c:v>
                </c:pt>
                <c:pt idx="15">
                  <c:v>6.1454550000000001</c:v>
                </c:pt>
                <c:pt idx="16">
                  <c:v>6.5484850000000003</c:v>
                </c:pt>
                <c:pt idx="17">
                  <c:v>6.9515149999999997</c:v>
                </c:pt>
                <c:pt idx="18">
                  <c:v>7.3545449999999999</c:v>
                </c:pt>
                <c:pt idx="19">
                  <c:v>7.7575760000000002</c:v>
                </c:pt>
                <c:pt idx="20">
                  <c:v>8.1606059999999996</c:v>
                </c:pt>
                <c:pt idx="21">
                  <c:v>8.5636360000000007</c:v>
                </c:pt>
                <c:pt idx="22">
                  <c:v>8.9666669999999993</c:v>
                </c:pt>
                <c:pt idx="23">
                  <c:v>9.3696970000000004</c:v>
                </c:pt>
                <c:pt idx="24">
                  <c:v>9.7727269999999997</c:v>
                </c:pt>
                <c:pt idx="25">
                  <c:v>10.175758</c:v>
                </c:pt>
                <c:pt idx="26">
                  <c:v>10.578787999999999</c:v>
                </c:pt>
                <c:pt idx="27">
                  <c:v>10.981818000000001</c:v>
                </c:pt>
                <c:pt idx="28">
                  <c:v>11.384848</c:v>
                </c:pt>
                <c:pt idx="29">
                  <c:v>11.787879</c:v>
                </c:pt>
                <c:pt idx="30">
                  <c:v>12.190909</c:v>
                </c:pt>
                <c:pt idx="31">
                  <c:v>12.593939000000001</c:v>
                </c:pt>
                <c:pt idx="32">
                  <c:v>12.996969999999999</c:v>
                </c:pt>
                <c:pt idx="33">
                  <c:v>13.4</c:v>
                </c:pt>
                <c:pt idx="34">
                  <c:v>13.80303</c:v>
                </c:pt>
                <c:pt idx="35">
                  <c:v>14.206061</c:v>
                </c:pt>
                <c:pt idx="36">
                  <c:v>14.609090999999999</c:v>
                </c:pt>
                <c:pt idx="37">
                  <c:v>15.012121</c:v>
                </c:pt>
                <c:pt idx="38">
                  <c:v>15.415152000000001</c:v>
                </c:pt>
                <c:pt idx="39">
                  <c:v>15.818182</c:v>
                </c:pt>
                <c:pt idx="40">
                  <c:v>16.221212000000001</c:v>
                </c:pt>
                <c:pt idx="41">
                  <c:v>16.624241999999999</c:v>
                </c:pt>
                <c:pt idx="42">
                  <c:v>17.027273000000001</c:v>
                </c:pt>
                <c:pt idx="43">
                  <c:v>17.430302999999999</c:v>
                </c:pt>
                <c:pt idx="44">
                  <c:v>17.833333</c:v>
                </c:pt>
                <c:pt idx="45">
                  <c:v>18.236363999999998</c:v>
                </c:pt>
                <c:pt idx="46">
                  <c:v>18.639393999999999</c:v>
                </c:pt>
                <c:pt idx="47">
                  <c:v>19.042424</c:v>
                </c:pt>
                <c:pt idx="48">
                  <c:v>19.445454999999999</c:v>
                </c:pt>
                <c:pt idx="49">
                  <c:v>19.848485</c:v>
                </c:pt>
                <c:pt idx="50">
                  <c:v>20.251515000000001</c:v>
                </c:pt>
                <c:pt idx="51">
                  <c:v>20.654544999999999</c:v>
                </c:pt>
                <c:pt idx="52">
                  <c:v>21.057576000000001</c:v>
                </c:pt>
                <c:pt idx="53">
                  <c:v>21.460605999999999</c:v>
                </c:pt>
                <c:pt idx="54">
                  <c:v>21.863636</c:v>
                </c:pt>
                <c:pt idx="55">
                  <c:v>22.266667000000002</c:v>
                </c:pt>
                <c:pt idx="56">
                  <c:v>22.669696999999999</c:v>
                </c:pt>
                <c:pt idx="57">
                  <c:v>23.072727</c:v>
                </c:pt>
                <c:pt idx="58">
                  <c:v>23.475757999999999</c:v>
                </c:pt>
                <c:pt idx="59">
                  <c:v>23.878788</c:v>
                </c:pt>
                <c:pt idx="60">
                  <c:v>24.281818000000001</c:v>
                </c:pt>
                <c:pt idx="61">
                  <c:v>24.684847999999999</c:v>
                </c:pt>
                <c:pt idx="62">
                  <c:v>25.087879000000001</c:v>
                </c:pt>
                <c:pt idx="63">
                  <c:v>25.490908999999998</c:v>
                </c:pt>
                <c:pt idx="64">
                  <c:v>25.893939</c:v>
                </c:pt>
                <c:pt idx="65">
                  <c:v>26.296970000000002</c:v>
                </c:pt>
                <c:pt idx="66">
                  <c:v>26.7</c:v>
                </c:pt>
                <c:pt idx="67">
                  <c:v>27.10303</c:v>
                </c:pt>
                <c:pt idx="68">
                  <c:v>27.506060999999999</c:v>
                </c:pt>
                <c:pt idx="69">
                  <c:v>27.909091</c:v>
                </c:pt>
                <c:pt idx="70">
                  <c:v>28.312121000000001</c:v>
                </c:pt>
                <c:pt idx="71">
                  <c:v>28.715152</c:v>
                </c:pt>
                <c:pt idx="72">
                  <c:v>29.118182000000001</c:v>
                </c:pt>
                <c:pt idx="73">
                  <c:v>29.521211999999998</c:v>
                </c:pt>
                <c:pt idx="74">
                  <c:v>29.924242</c:v>
                </c:pt>
                <c:pt idx="75">
                  <c:v>30.327273000000002</c:v>
                </c:pt>
                <c:pt idx="76">
                  <c:v>30.730302999999999</c:v>
                </c:pt>
                <c:pt idx="77">
                  <c:v>31.133333</c:v>
                </c:pt>
                <c:pt idx="78">
                  <c:v>31.536363999999999</c:v>
                </c:pt>
                <c:pt idx="79">
                  <c:v>31.939394</c:v>
                </c:pt>
                <c:pt idx="80">
                  <c:v>32.342424000000001</c:v>
                </c:pt>
                <c:pt idx="81">
                  <c:v>32.745455</c:v>
                </c:pt>
                <c:pt idx="82">
                  <c:v>33.148485000000001</c:v>
                </c:pt>
                <c:pt idx="83">
                  <c:v>33.551515000000002</c:v>
                </c:pt>
                <c:pt idx="84">
                  <c:v>33.954545000000003</c:v>
                </c:pt>
                <c:pt idx="85">
                  <c:v>34.357576000000002</c:v>
                </c:pt>
                <c:pt idx="86">
                  <c:v>34.760606000000003</c:v>
                </c:pt>
                <c:pt idx="87">
                  <c:v>35.163635999999997</c:v>
                </c:pt>
                <c:pt idx="88">
                  <c:v>35.566667000000002</c:v>
                </c:pt>
                <c:pt idx="89">
                  <c:v>35.969696999999996</c:v>
                </c:pt>
                <c:pt idx="90">
                  <c:v>36.372726999999998</c:v>
                </c:pt>
                <c:pt idx="91">
                  <c:v>36.775758000000003</c:v>
                </c:pt>
                <c:pt idx="92">
                  <c:v>37.178787999999997</c:v>
                </c:pt>
                <c:pt idx="93">
                  <c:v>37.581817999999998</c:v>
                </c:pt>
                <c:pt idx="94">
                  <c:v>37.984848</c:v>
                </c:pt>
                <c:pt idx="95">
                  <c:v>38.387878999999998</c:v>
                </c:pt>
                <c:pt idx="96">
                  <c:v>38.790908999999999</c:v>
                </c:pt>
                <c:pt idx="97">
                  <c:v>39.193939</c:v>
                </c:pt>
                <c:pt idx="98">
                  <c:v>39.596969999999999</c:v>
                </c:pt>
                <c:pt idx="99">
                  <c:v>40</c:v>
                </c:pt>
              </c:numCache>
            </c:numRef>
          </c:cat>
          <c:val>
            <c:numRef>
              <c:f>'Wei-Pareto'!$E$9:$E$108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4B-4DEA-8661-88159503F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Wei-Pareto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'Wei-Pareto'!$F$8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'Wei-Pareto'!$D$9:$D$108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0.50302999999999998</c:v>
                </c:pt>
                <c:pt idx="2">
                  <c:v>0.90606100000000001</c:v>
                </c:pt>
                <c:pt idx="3">
                  <c:v>1.309091</c:v>
                </c:pt>
                <c:pt idx="4">
                  <c:v>1.712121</c:v>
                </c:pt>
                <c:pt idx="5">
                  <c:v>2.1151520000000001</c:v>
                </c:pt>
                <c:pt idx="6">
                  <c:v>2.5181819999999999</c:v>
                </c:pt>
                <c:pt idx="7">
                  <c:v>2.9212120000000001</c:v>
                </c:pt>
                <c:pt idx="8">
                  <c:v>3.3242419999999999</c:v>
                </c:pt>
                <c:pt idx="9">
                  <c:v>3.7272729999999998</c:v>
                </c:pt>
                <c:pt idx="10">
                  <c:v>4.1303029999999996</c:v>
                </c:pt>
                <c:pt idx="11">
                  <c:v>4.5333329999999998</c:v>
                </c:pt>
                <c:pt idx="12">
                  <c:v>4.9363640000000002</c:v>
                </c:pt>
                <c:pt idx="13">
                  <c:v>5.3393940000000004</c:v>
                </c:pt>
                <c:pt idx="14">
                  <c:v>5.7424239999999998</c:v>
                </c:pt>
                <c:pt idx="15">
                  <c:v>6.1454550000000001</c:v>
                </c:pt>
                <c:pt idx="16">
                  <c:v>6.5484850000000003</c:v>
                </c:pt>
                <c:pt idx="17">
                  <c:v>6.9515149999999997</c:v>
                </c:pt>
                <c:pt idx="18">
                  <c:v>7.3545449999999999</c:v>
                </c:pt>
                <c:pt idx="19">
                  <c:v>7.7575760000000002</c:v>
                </c:pt>
                <c:pt idx="20">
                  <c:v>8.1606059999999996</c:v>
                </c:pt>
                <c:pt idx="21">
                  <c:v>8.5636360000000007</c:v>
                </c:pt>
                <c:pt idx="22">
                  <c:v>8.9666669999999993</c:v>
                </c:pt>
                <c:pt idx="23">
                  <c:v>9.3696970000000004</c:v>
                </c:pt>
                <c:pt idx="24">
                  <c:v>9.7727269999999997</c:v>
                </c:pt>
                <c:pt idx="25">
                  <c:v>10.175758</c:v>
                </c:pt>
                <c:pt idx="26">
                  <c:v>10.578787999999999</c:v>
                </c:pt>
                <c:pt idx="27">
                  <c:v>10.981818000000001</c:v>
                </c:pt>
                <c:pt idx="28">
                  <c:v>11.384848</c:v>
                </c:pt>
                <c:pt idx="29">
                  <c:v>11.787879</c:v>
                </c:pt>
                <c:pt idx="30">
                  <c:v>12.190909</c:v>
                </c:pt>
                <c:pt idx="31">
                  <c:v>12.593939000000001</c:v>
                </c:pt>
                <c:pt idx="32">
                  <c:v>12.996969999999999</c:v>
                </c:pt>
                <c:pt idx="33">
                  <c:v>13.4</c:v>
                </c:pt>
                <c:pt idx="34">
                  <c:v>13.80303</c:v>
                </c:pt>
                <c:pt idx="35">
                  <c:v>14.206061</c:v>
                </c:pt>
                <c:pt idx="36">
                  <c:v>14.609090999999999</c:v>
                </c:pt>
                <c:pt idx="37">
                  <c:v>15.012121</c:v>
                </c:pt>
                <c:pt idx="38">
                  <c:v>15.415152000000001</c:v>
                </c:pt>
                <c:pt idx="39">
                  <c:v>15.818182</c:v>
                </c:pt>
                <c:pt idx="40">
                  <c:v>16.221212000000001</c:v>
                </c:pt>
                <c:pt idx="41">
                  <c:v>16.624241999999999</c:v>
                </c:pt>
                <c:pt idx="42">
                  <c:v>17.027273000000001</c:v>
                </c:pt>
                <c:pt idx="43">
                  <c:v>17.430302999999999</c:v>
                </c:pt>
                <c:pt idx="44">
                  <c:v>17.833333</c:v>
                </c:pt>
                <c:pt idx="45">
                  <c:v>18.236363999999998</c:v>
                </c:pt>
                <c:pt idx="46">
                  <c:v>18.639393999999999</c:v>
                </c:pt>
                <c:pt idx="47">
                  <c:v>19.042424</c:v>
                </c:pt>
                <c:pt idx="48">
                  <c:v>19.445454999999999</c:v>
                </c:pt>
                <c:pt idx="49">
                  <c:v>19.848485</c:v>
                </c:pt>
                <c:pt idx="50">
                  <c:v>20.251515000000001</c:v>
                </c:pt>
                <c:pt idx="51">
                  <c:v>20.654544999999999</c:v>
                </c:pt>
                <c:pt idx="52">
                  <c:v>21.057576000000001</c:v>
                </c:pt>
                <c:pt idx="53">
                  <c:v>21.460605999999999</c:v>
                </c:pt>
                <c:pt idx="54">
                  <c:v>21.863636</c:v>
                </c:pt>
                <c:pt idx="55">
                  <c:v>22.266667000000002</c:v>
                </c:pt>
                <c:pt idx="56">
                  <c:v>22.669696999999999</c:v>
                </c:pt>
                <c:pt idx="57">
                  <c:v>23.072727</c:v>
                </c:pt>
                <c:pt idx="58">
                  <c:v>23.475757999999999</c:v>
                </c:pt>
                <c:pt idx="59">
                  <c:v>23.878788</c:v>
                </c:pt>
                <c:pt idx="60">
                  <c:v>24.281818000000001</c:v>
                </c:pt>
                <c:pt idx="61">
                  <c:v>24.684847999999999</c:v>
                </c:pt>
                <c:pt idx="62">
                  <c:v>25.087879000000001</c:v>
                </c:pt>
                <c:pt idx="63">
                  <c:v>25.490908999999998</c:v>
                </c:pt>
                <c:pt idx="64">
                  <c:v>25.893939</c:v>
                </c:pt>
                <c:pt idx="65">
                  <c:v>26.296970000000002</c:v>
                </c:pt>
                <c:pt idx="66">
                  <c:v>26.7</c:v>
                </c:pt>
                <c:pt idx="67">
                  <c:v>27.10303</c:v>
                </c:pt>
                <c:pt idx="68">
                  <c:v>27.506060999999999</c:v>
                </c:pt>
                <c:pt idx="69">
                  <c:v>27.909091</c:v>
                </c:pt>
                <c:pt idx="70">
                  <c:v>28.312121000000001</c:v>
                </c:pt>
                <c:pt idx="71">
                  <c:v>28.715152</c:v>
                </c:pt>
                <c:pt idx="72">
                  <c:v>29.118182000000001</c:v>
                </c:pt>
                <c:pt idx="73">
                  <c:v>29.521211999999998</c:v>
                </c:pt>
                <c:pt idx="74">
                  <c:v>29.924242</c:v>
                </c:pt>
                <c:pt idx="75">
                  <c:v>30.327273000000002</c:v>
                </c:pt>
                <c:pt idx="76">
                  <c:v>30.730302999999999</c:v>
                </c:pt>
                <c:pt idx="77">
                  <c:v>31.133333</c:v>
                </c:pt>
                <c:pt idx="78">
                  <c:v>31.536363999999999</c:v>
                </c:pt>
                <c:pt idx="79">
                  <c:v>31.939394</c:v>
                </c:pt>
                <c:pt idx="80">
                  <c:v>32.342424000000001</c:v>
                </c:pt>
                <c:pt idx="81">
                  <c:v>32.745455</c:v>
                </c:pt>
                <c:pt idx="82">
                  <c:v>33.148485000000001</c:v>
                </c:pt>
                <c:pt idx="83">
                  <c:v>33.551515000000002</c:v>
                </c:pt>
                <c:pt idx="84">
                  <c:v>33.954545000000003</c:v>
                </c:pt>
                <c:pt idx="85">
                  <c:v>34.357576000000002</c:v>
                </c:pt>
                <c:pt idx="86">
                  <c:v>34.760606000000003</c:v>
                </c:pt>
                <c:pt idx="87">
                  <c:v>35.163635999999997</c:v>
                </c:pt>
                <c:pt idx="88">
                  <c:v>35.566667000000002</c:v>
                </c:pt>
                <c:pt idx="89">
                  <c:v>35.969696999999996</c:v>
                </c:pt>
                <c:pt idx="90">
                  <c:v>36.372726999999998</c:v>
                </c:pt>
                <c:pt idx="91">
                  <c:v>36.775758000000003</c:v>
                </c:pt>
                <c:pt idx="92">
                  <c:v>37.178787999999997</c:v>
                </c:pt>
                <c:pt idx="93">
                  <c:v>37.581817999999998</c:v>
                </c:pt>
                <c:pt idx="94">
                  <c:v>37.984848</c:v>
                </c:pt>
                <c:pt idx="95">
                  <c:v>38.387878999999998</c:v>
                </c:pt>
                <c:pt idx="96">
                  <c:v>38.790908999999999</c:v>
                </c:pt>
                <c:pt idx="97">
                  <c:v>39.193939</c:v>
                </c:pt>
                <c:pt idx="98">
                  <c:v>39.596969999999999</c:v>
                </c:pt>
                <c:pt idx="99">
                  <c:v>40</c:v>
                </c:pt>
              </c:numCache>
            </c:numRef>
          </c:cat>
          <c:val>
            <c:numRef>
              <c:f>'Wei-Pareto'!$F$9:$F$108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C9-4D3E-BC43-733807C7D9CD}"/>
            </c:ext>
          </c:extLst>
        </c:ser>
        <c:ser>
          <c:idx val="1"/>
          <c:order val="1"/>
          <c:tx>
            <c:strRef>
              <c:f>'Wei-Pareto'!$G$8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'Wei-Pareto'!$D$9:$D$108</c:f>
              <c:numCache>
                <c:formatCode>General</c:formatCode>
                <c:ptCount val="100"/>
                <c:pt idx="0">
                  <c:v>0.1</c:v>
                </c:pt>
                <c:pt idx="1">
                  <c:v>0.50302999999999998</c:v>
                </c:pt>
                <c:pt idx="2">
                  <c:v>0.90606100000000001</c:v>
                </c:pt>
                <c:pt idx="3">
                  <c:v>1.309091</c:v>
                </c:pt>
                <c:pt idx="4">
                  <c:v>1.712121</c:v>
                </c:pt>
                <c:pt idx="5">
                  <c:v>2.1151520000000001</c:v>
                </c:pt>
                <c:pt idx="6">
                  <c:v>2.5181819999999999</c:v>
                </c:pt>
                <c:pt idx="7">
                  <c:v>2.9212120000000001</c:v>
                </c:pt>
                <c:pt idx="8">
                  <c:v>3.3242419999999999</c:v>
                </c:pt>
                <c:pt idx="9">
                  <c:v>3.7272729999999998</c:v>
                </c:pt>
                <c:pt idx="10">
                  <c:v>4.1303029999999996</c:v>
                </c:pt>
                <c:pt idx="11">
                  <c:v>4.5333329999999998</c:v>
                </c:pt>
                <c:pt idx="12">
                  <c:v>4.9363640000000002</c:v>
                </c:pt>
                <c:pt idx="13">
                  <c:v>5.3393940000000004</c:v>
                </c:pt>
                <c:pt idx="14">
                  <c:v>5.7424239999999998</c:v>
                </c:pt>
                <c:pt idx="15">
                  <c:v>6.1454550000000001</c:v>
                </c:pt>
                <c:pt idx="16">
                  <c:v>6.5484850000000003</c:v>
                </c:pt>
                <c:pt idx="17">
                  <c:v>6.9515149999999997</c:v>
                </c:pt>
                <c:pt idx="18">
                  <c:v>7.3545449999999999</c:v>
                </c:pt>
                <c:pt idx="19">
                  <c:v>7.7575760000000002</c:v>
                </c:pt>
                <c:pt idx="20">
                  <c:v>8.1606059999999996</c:v>
                </c:pt>
                <c:pt idx="21">
                  <c:v>8.5636360000000007</c:v>
                </c:pt>
                <c:pt idx="22">
                  <c:v>8.9666669999999993</c:v>
                </c:pt>
                <c:pt idx="23">
                  <c:v>9.3696970000000004</c:v>
                </c:pt>
                <c:pt idx="24">
                  <c:v>9.7727269999999997</c:v>
                </c:pt>
                <c:pt idx="25">
                  <c:v>10.175758</c:v>
                </c:pt>
                <c:pt idx="26">
                  <c:v>10.578787999999999</c:v>
                </c:pt>
                <c:pt idx="27">
                  <c:v>10.981818000000001</c:v>
                </c:pt>
                <c:pt idx="28">
                  <c:v>11.384848</c:v>
                </c:pt>
                <c:pt idx="29">
                  <c:v>11.787879</c:v>
                </c:pt>
                <c:pt idx="30">
                  <c:v>12.190909</c:v>
                </c:pt>
                <c:pt idx="31">
                  <c:v>12.593939000000001</c:v>
                </c:pt>
                <c:pt idx="32">
                  <c:v>12.996969999999999</c:v>
                </c:pt>
                <c:pt idx="33">
                  <c:v>13.4</c:v>
                </c:pt>
                <c:pt idx="34">
                  <c:v>13.80303</c:v>
                </c:pt>
                <c:pt idx="35">
                  <c:v>14.206061</c:v>
                </c:pt>
                <c:pt idx="36">
                  <c:v>14.609090999999999</c:v>
                </c:pt>
                <c:pt idx="37">
                  <c:v>15.012121</c:v>
                </c:pt>
                <c:pt idx="38">
                  <c:v>15.415152000000001</c:v>
                </c:pt>
                <c:pt idx="39">
                  <c:v>15.818182</c:v>
                </c:pt>
                <c:pt idx="40">
                  <c:v>16.221212000000001</c:v>
                </c:pt>
                <c:pt idx="41">
                  <c:v>16.624241999999999</c:v>
                </c:pt>
                <c:pt idx="42">
                  <c:v>17.027273000000001</c:v>
                </c:pt>
                <c:pt idx="43">
                  <c:v>17.430302999999999</c:v>
                </c:pt>
                <c:pt idx="44">
                  <c:v>17.833333</c:v>
                </c:pt>
                <c:pt idx="45">
                  <c:v>18.236363999999998</c:v>
                </c:pt>
                <c:pt idx="46">
                  <c:v>18.639393999999999</c:v>
                </c:pt>
                <c:pt idx="47">
                  <c:v>19.042424</c:v>
                </c:pt>
                <c:pt idx="48">
                  <c:v>19.445454999999999</c:v>
                </c:pt>
                <c:pt idx="49">
                  <c:v>19.848485</c:v>
                </c:pt>
                <c:pt idx="50">
                  <c:v>20.251515000000001</c:v>
                </c:pt>
                <c:pt idx="51">
                  <c:v>20.654544999999999</c:v>
                </c:pt>
                <c:pt idx="52">
                  <c:v>21.057576000000001</c:v>
                </c:pt>
                <c:pt idx="53">
                  <c:v>21.460605999999999</c:v>
                </c:pt>
                <c:pt idx="54">
                  <c:v>21.863636</c:v>
                </c:pt>
                <c:pt idx="55">
                  <c:v>22.266667000000002</c:v>
                </c:pt>
                <c:pt idx="56">
                  <c:v>22.669696999999999</c:v>
                </c:pt>
                <c:pt idx="57">
                  <c:v>23.072727</c:v>
                </c:pt>
                <c:pt idx="58">
                  <c:v>23.475757999999999</c:v>
                </c:pt>
                <c:pt idx="59">
                  <c:v>23.878788</c:v>
                </c:pt>
                <c:pt idx="60">
                  <c:v>24.281818000000001</c:v>
                </c:pt>
                <c:pt idx="61">
                  <c:v>24.684847999999999</c:v>
                </c:pt>
                <c:pt idx="62">
                  <c:v>25.087879000000001</c:v>
                </c:pt>
                <c:pt idx="63">
                  <c:v>25.490908999999998</c:v>
                </c:pt>
                <c:pt idx="64">
                  <c:v>25.893939</c:v>
                </c:pt>
                <c:pt idx="65">
                  <c:v>26.296970000000002</c:v>
                </c:pt>
                <c:pt idx="66">
                  <c:v>26.7</c:v>
                </c:pt>
                <c:pt idx="67">
                  <c:v>27.10303</c:v>
                </c:pt>
                <c:pt idx="68">
                  <c:v>27.506060999999999</c:v>
                </c:pt>
                <c:pt idx="69">
                  <c:v>27.909091</c:v>
                </c:pt>
                <c:pt idx="70">
                  <c:v>28.312121000000001</c:v>
                </c:pt>
                <c:pt idx="71">
                  <c:v>28.715152</c:v>
                </c:pt>
                <c:pt idx="72">
                  <c:v>29.118182000000001</c:v>
                </c:pt>
                <c:pt idx="73">
                  <c:v>29.521211999999998</c:v>
                </c:pt>
                <c:pt idx="74">
                  <c:v>29.924242</c:v>
                </c:pt>
                <c:pt idx="75">
                  <c:v>30.327273000000002</c:v>
                </c:pt>
                <c:pt idx="76">
                  <c:v>30.730302999999999</c:v>
                </c:pt>
                <c:pt idx="77">
                  <c:v>31.133333</c:v>
                </c:pt>
                <c:pt idx="78">
                  <c:v>31.536363999999999</c:v>
                </c:pt>
                <c:pt idx="79">
                  <c:v>31.939394</c:v>
                </c:pt>
                <c:pt idx="80">
                  <c:v>32.342424000000001</c:v>
                </c:pt>
                <c:pt idx="81">
                  <c:v>32.745455</c:v>
                </c:pt>
                <c:pt idx="82">
                  <c:v>33.148485000000001</c:v>
                </c:pt>
                <c:pt idx="83">
                  <c:v>33.551515000000002</c:v>
                </c:pt>
                <c:pt idx="84">
                  <c:v>33.954545000000003</c:v>
                </c:pt>
                <c:pt idx="85">
                  <c:v>34.357576000000002</c:v>
                </c:pt>
                <c:pt idx="86">
                  <c:v>34.760606000000003</c:v>
                </c:pt>
                <c:pt idx="87">
                  <c:v>35.163635999999997</c:v>
                </c:pt>
                <c:pt idx="88">
                  <c:v>35.566667000000002</c:v>
                </c:pt>
                <c:pt idx="89">
                  <c:v>35.969696999999996</c:v>
                </c:pt>
                <c:pt idx="90">
                  <c:v>36.372726999999998</c:v>
                </c:pt>
                <c:pt idx="91">
                  <c:v>36.775758000000003</c:v>
                </c:pt>
                <c:pt idx="92">
                  <c:v>37.178787999999997</c:v>
                </c:pt>
                <c:pt idx="93">
                  <c:v>37.581817999999998</c:v>
                </c:pt>
                <c:pt idx="94">
                  <c:v>37.984848</c:v>
                </c:pt>
                <c:pt idx="95">
                  <c:v>38.387878999999998</c:v>
                </c:pt>
                <c:pt idx="96">
                  <c:v>38.790908999999999</c:v>
                </c:pt>
                <c:pt idx="97">
                  <c:v>39.193939</c:v>
                </c:pt>
                <c:pt idx="98">
                  <c:v>39.596969999999999</c:v>
                </c:pt>
                <c:pt idx="99">
                  <c:v>40</c:v>
                </c:pt>
              </c:numCache>
            </c:numRef>
          </c:cat>
          <c:val>
            <c:numRef>
              <c:f>'Wei-Pareto'!$G$9:$G$108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C9-4D3E-BC43-733807C7D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Exp-Pareto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'Exp-Pareto'!$E$8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'Exp-Pareto'!$D$9:$D$108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0.413939</c:v>
                </c:pt>
                <c:pt idx="2">
                  <c:v>0.81787900000000002</c:v>
                </c:pt>
                <c:pt idx="3">
                  <c:v>1.2218180000000001</c:v>
                </c:pt>
                <c:pt idx="4">
                  <c:v>1.625758</c:v>
                </c:pt>
                <c:pt idx="5">
                  <c:v>2.0296970000000001</c:v>
                </c:pt>
                <c:pt idx="6">
                  <c:v>2.4336359999999999</c:v>
                </c:pt>
                <c:pt idx="7">
                  <c:v>2.8375759999999999</c:v>
                </c:pt>
                <c:pt idx="8">
                  <c:v>3.2415150000000001</c:v>
                </c:pt>
                <c:pt idx="9">
                  <c:v>3.6454550000000001</c:v>
                </c:pt>
                <c:pt idx="10">
                  <c:v>4.0493940000000004</c:v>
                </c:pt>
                <c:pt idx="11">
                  <c:v>4.4533329999999998</c:v>
                </c:pt>
                <c:pt idx="12">
                  <c:v>4.8572730000000002</c:v>
                </c:pt>
                <c:pt idx="13">
                  <c:v>5.2612120000000004</c:v>
                </c:pt>
                <c:pt idx="14">
                  <c:v>5.665152</c:v>
                </c:pt>
                <c:pt idx="15">
                  <c:v>6.0690910000000002</c:v>
                </c:pt>
                <c:pt idx="16">
                  <c:v>6.4730299999999996</c:v>
                </c:pt>
                <c:pt idx="17">
                  <c:v>6.87697</c:v>
                </c:pt>
                <c:pt idx="18">
                  <c:v>7.2809090000000003</c:v>
                </c:pt>
                <c:pt idx="19">
                  <c:v>7.6848479999999997</c:v>
                </c:pt>
                <c:pt idx="20">
                  <c:v>8.0887879999999992</c:v>
                </c:pt>
                <c:pt idx="21">
                  <c:v>8.4927270000000004</c:v>
                </c:pt>
                <c:pt idx="22">
                  <c:v>8.8966670000000008</c:v>
                </c:pt>
                <c:pt idx="23">
                  <c:v>9.3006060000000002</c:v>
                </c:pt>
                <c:pt idx="24">
                  <c:v>9.7045449999999995</c:v>
                </c:pt>
                <c:pt idx="25">
                  <c:v>10.108485</c:v>
                </c:pt>
                <c:pt idx="26">
                  <c:v>10.512423999999999</c:v>
                </c:pt>
                <c:pt idx="27">
                  <c:v>10.916364</c:v>
                </c:pt>
                <c:pt idx="28">
                  <c:v>11.320302999999999</c:v>
                </c:pt>
                <c:pt idx="29">
                  <c:v>11.724242</c:v>
                </c:pt>
                <c:pt idx="30">
                  <c:v>12.128182000000001</c:v>
                </c:pt>
                <c:pt idx="31">
                  <c:v>12.532121</c:v>
                </c:pt>
                <c:pt idx="32">
                  <c:v>12.936061</c:v>
                </c:pt>
                <c:pt idx="33">
                  <c:v>13.34</c:v>
                </c:pt>
                <c:pt idx="34">
                  <c:v>13.743938999999999</c:v>
                </c:pt>
                <c:pt idx="35">
                  <c:v>14.147879</c:v>
                </c:pt>
                <c:pt idx="36">
                  <c:v>14.551818000000001</c:v>
                </c:pt>
                <c:pt idx="37">
                  <c:v>14.955757999999999</c:v>
                </c:pt>
                <c:pt idx="38">
                  <c:v>15.359697000000001</c:v>
                </c:pt>
                <c:pt idx="39">
                  <c:v>15.763636</c:v>
                </c:pt>
                <c:pt idx="40">
                  <c:v>16.167576</c:v>
                </c:pt>
                <c:pt idx="41">
                  <c:v>16.571515000000002</c:v>
                </c:pt>
                <c:pt idx="42">
                  <c:v>16.975455</c:v>
                </c:pt>
                <c:pt idx="43">
                  <c:v>17.379394000000001</c:v>
                </c:pt>
                <c:pt idx="44">
                  <c:v>17.783332999999999</c:v>
                </c:pt>
                <c:pt idx="45">
                  <c:v>18.187273000000001</c:v>
                </c:pt>
                <c:pt idx="46">
                  <c:v>18.591211999999999</c:v>
                </c:pt>
                <c:pt idx="47">
                  <c:v>18.995152000000001</c:v>
                </c:pt>
                <c:pt idx="48">
                  <c:v>19.399090999999999</c:v>
                </c:pt>
                <c:pt idx="49">
                  <c:v>19.80303</c:v>
                </c:pt>
                <c:pt idx="50">
                  <c:v>20.206969999999998</c:v>
                </c:pt>
                <c:pt idx="51">
                  <c:v>20.610908999999999</c:v>
                </c:pt>
                <c:pt idx="52">
                  <c:v>21.014848000000001</c:v>
                </c:pt>
                <c:pt idx="53">
                  <c:v>21.418787999999999</c:v>
                </c:pt>
                <c:pt idx="54">
                  <c:v>21.822727</c:v>
                </c:pt>
                <c:pt idx="55">
                  <c:v>22.226666999999999</c:v>
                </c:pt>
                <c:pt idx="56">
                  <c:v>22.630606</c:v>
                </c:pt>
                <c:pt idx="57">
                  <c:v>23.034545000000001</c:v>
                </c:pt>
                <c:pt idx="58">
                  <c:v>23.438485</c:v>
                </c:pt>
                <c:pt idx="59">
                  <c:v>23.842424000000001</c:v>
                </c:pt>
                <c:pt idx="60">
                  <c:v>24.246364</c:v>
                </c:pt>
                <c:pt idx="61">
                  <c:v>24.650303000000001</c:v>
                </c:pt>
                <c:pt idx="62">
                  <c:v>25.054241999999999</c:v>
                </c:pt>
                <c:pt idx="63">
                  <c:v>25.458182000000001</c:v>
                </c:pt>
                <c:pt idx="64">
                  <c:v>25.862120999999998</c:v>
                </c:pt>
                <c:pt idx="65">
                  <c:v>26.266061000000001</c:v>
                </c:pt>
                <c:pt idx="66">
                  <c:v>26.67</c:v>
                </c:pt>
                <c:pt idx="67">
                  <c:v>27.073938999999999</c:v>
                </c:pt>
                <c:pt idx="68">
                  <c:v>27.477879000000001</c:v>
                </c:pt>
                <c:pt idx="69">
                  <c:v>27.881817999999999</c:v>
                </c:pt>
                <c:pt idx="70">
                  <c:v>28.285758000000001</c:v>
                </c:pt>
                <c:pt idx="71">
                  <c:v>28.689696999999999</c:v>
                </c:pt>
                <c:pt idx="72">
                  <c:v>29.093636</c:v>
                </c:pt>
                <c:pt idx="73">
                  <c:v>29.497575999999999</c:v>
                </c:pt>
                <c:pt idx="74">
                  <c:v>29.901515</c:v>
                </c:pt>
                <c:pt idx="75">
                  <c:v>30.305454999999998</c:v>
                </c:pt>
                <c:pt idx="76">
                  <c:v>30.709394</c:v>
                </c:pt>
                <c:pt idx="77">
                  <c:v>31.113333000000001</c:v>
                </c:pt>
                <c:pt idx="78">
                  <c:v>31.517272999999999</c:v>
                </c:pt>
                <c:pt idx="79">
                  <c:v>31.921212000000001</c:v>
                </c:pt>
                <c:pt idx="80">
                  <c:v>32.325152000000003</c:v>
                </c:pt>
                <c:pt idx="81">
                  <c:v>32.729090999999997</c:v>
                </c:pt>
                <c:pt idx="82">
                  <c:v>33.133029999999998</c:v>
                </c:pt>
                <c:pt idx="83">
                  <c:v>33.536969999999997</c:v>
                </c:pt>
                <c:pt idx="84">
                  <c:v>33.940908999999998</c:v>
                </c:pt>
                <c:pt idx="85">
                  <c:v>34.344847999999999</c:v>
                </c:pt>
                <c:pt idx="86">
                  <c:v>34.748787999999998</c:v>
                </c:pt>
                <c:pt idx="87">
                  <c:v>35.152726999999999</c:v>
                </c:pt>
                <c:pt idx="88">
                  <c:v>35.556666999999997</c:v>
                </c:pt>
                <c:pt idx="89">
                  <c:v>35.960605999999999</c:v>
                </c:pt>
                <c:pt idx="90">
                  <c:v>36.364545</c:v>
                </c:pt>
                <c:pt idx="91">
                  <c:v>36.768484999999998</c:v>
                </c:pt>
                <c:pt idx="92">
                  <c:v>37.172423999999999</c:v>
                </c:pt>
                <c:pt idx="93">
                  <c:v>37.576363999999998</c:v>
                </c:pt>
                <c:pt idx="94">
                  <c:v>37.980302999999999</c:v>
                </c:pt>
                <c:pt idx="95">
                  <c:v>38.384242</c:v>
                </c:pt>
                <c:pt idx="96">
                  <c:v>38.788181999999999</c:v>
                </c:pt>
                <c:pt idx="97">
                  <c:v>39.192121</c:v>
                </c:pt>
                <c:pt idx="98">
                  <c:v>39.596060999999999</c:v>
                </c:pt>
                <c:pt idx="99">
                  <c:v>40</c:v>
                </c:pt>
              </c:numCache>
            </c:numRef>
          </c:cat>
          <c:val>
            <c:numRef>
              <c:f>'Exp-Pareto'!$E$9:$E$108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E3-4250-9E3B-5D394274F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Exp-Pareto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'Exp-Pareto'!$F$8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'Exp-Pareto'!$D$9:$D$108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0.413939</c:v>
                </c:pt>
                <c:pt idx="2">
                  <c:v>0.81787900000000002</c:v>
                </c:pt>
                <c:pt idx="3">
                  <c:v>1.2218180000000001</c:v>
                </c:pt>
                <c:pt idx="4">
                  <c:v>1.625758</c:v>
                </c:pt>
                <c:pt idx="5">
                  <c:v>2.0296970000000001</c:v>
                </c:pt>
                <c:pt idx="6">
                  <c:v>2.4336359999999999</c:v>
                </c:pt>
                <c:pt idx="7">
                  <c:v>2.8375759999999999</c:v>
                </c:pt>
                <c:pt idx="8">
                  <c:v>3.2415150000000001</c:v>
                </c:pt>
                <c:pt idx="9">
                  <c:v>3.6454550000000001</c:v>
                </c:pt>
                <c:pt idx="10">
                  <c:v>4.0493940000000004</c:v>
                </c:pt>
                <c:pt idx="11">
                  <c:v>4.4533329999999998</c:v>
                </c:pt>
                <c:pt idx="12">
                  <c:v>4.8572730000000002</c:v>
                </c:pt>
                <c:pt idx="13">
                  <c:v>5.2612120000000004</c:v>
                </c:pt>
                <c:pt idx="14">
                  <c:v>5.665152</c:v>
                </c:pt>
                <c:pt idx="15">
                  <c:v>6.0690910000000002</c:v>
                </c:pt>
                <c:pt idx="16">
                  <c:v>6.4730299999999996</c:v>
                </c:pt>
                <c:pt idx="17">
                  <c:v>6.87697</c:v>
                </c:pt>
                <c:pt idx="18">
                  <c:v>7.2809090000000003</c:v>
                </c:pt>
                <c:pt idx="19">
                  <c:v>7.6848479999999997</c:v>
                </c:pt>
                <c:pt idx="20">
                  <c:v>8.0887879999999992</c:v>
                </c:pt>
                <c:pt idx="21">
                  <c:v>8.4927270000000004</c:v>
                </c:pt>
                <c:pt idx="22">
                  <c:v>8.8966670000000008</c:v>
                </c:pt>
                <c:pt idx="23">
                  <c:v>9.3006060000000002</c:v>
                </c:pt>
                <c:pt idx="24">
                  <c:v>9.7045449999999995</c:v>
                </c:pt>
                <c:pt idx="25">
                  <c:v>10.108485</c:v>
                </c:pt>
                <c:pt idx="26">
                  <c:v>10.512423999999999</c:v>
                </c:pt>
                <c:pt idx="27">
                  <c:v>10.916364</c:v>
                </c:pt>
                <c:pt idx="28">
                  <c:v>11.320302999999999</c:v>
                </c:pt>
                <c:pt idx="29">
                  <c:v>11.724242</c:v>
                </c:pt>
                <c:pt idx="30">
                  <c:v>12.128182000000001</c:v>
                </c:pt>
                <c:pt idx="31">
                  <c:v>12.532121</c:v>
                </c:pt>
                <c:pt idx="32">
                  <c:v>12.936061</c:v>
                </c:pt>
                <c:pt idx="33">
                  <c:v>13.34</c:v>
                </c:pt>
                <c:pt idx="34">
                  <c:v>13.743938999999999</c:v>
                </c:pt>
                <c:pt idx="35">
                  <c:v>14.147879</c:v>
                </c:pt>
                <c:pt idx="36">
                  <c:v>14.551818000000001</c:v>
                </c:pt>
                <c:pt idx="37">
                  <c:v>14.955757999999999</c:v>
                </c:pt>
                <c:pt idx="38">
                  <c:v>15.359697000000001</c:v>
                </c:pt>
                <c:pt idx="39">
                  <c:v>15.763636</c:v>
                </c:pt>
                <c:pt idx="40">
                  <c:v>16.167576</c:v>
                </c:pt>
                <c:pt idx="41">
                  <c:v>16.571515000000002</c:v>
                </c:pt>
                <c:pt idx="42">
                  <c:v>16.975455</c:v>
                </c:pt>
                <c:pt idx="43">
                  <c:v>17.379394000000001</c:v>
                </c:pt>
                <c:pt idx="44">
                  <c:v>17.783332999999999</c:v>
                </c:pt>
                <c:pt idx="45">
                  <c:v>18.187273000000001</c:v>
                </c:pt>
                <c:pt idx="46">
                  <c:v>18.591211999999999</c:v>
                </c:pt>
                <c:pt idx="47">
                  <c:v>18.995152000000001</c:v>
                </c:pt>
                <c:pt idx="48">
                  <c:v>19.399090999999999</c:v>
                </c:pt>
                <c:pt idx="49">
                  <c:v>19.80303</c:v>
                </c:pt>
                <c:pt idx="50">
                  <c:v>20.206969999999998</c:v>
                </c:pt>
                <c:pt idx="51">
                  <c:v>20.610908999999999</c:v>
                </c:pt>
                <c:pt idx="52">
                  <c:v>21.014848000000001</c:v>
                </c:pt>
                <c:pt idx="53">
                  <c:v>21.418787999999999</c:v>
                </c:pt>
                <c:pt idx="54">
                  <c:v>21.822727</c:v>
                </c:pt>
                <c:pt idx="55">
                  <c:v>22.226666999999999</c:v>
                </c:pt>
                <c:pt idx="56">
                  <c:v>22.630606</c:v>
                </c:pt>
                <c:pt idx="57">
                  <c:v>23.034545000000001</c:v>
                </c:pt>
                <c:pt idx="58">
                  <c:v>23.438485</c:v>
                </c:pt>
                <c:pt idx="59">
                  <c:v>23.842424000000001</c:v>
                </c:pt>
                <c:pt idx="60">
                  <c:v>24.246364</c:v>
                </c:pt>
                <c:pt idx="61">
                  <c:v>24.650303000000001</c:v>
                </c:pt>
                <c:pt idx="62">
                  <c:v>25.054241999999999</c:v>
                </c:pt>
                <c:pt idx="63">
                  <c:v>25.458182000000001</c:v>
                </c:pt>
                <c:pt idx="64">
                  <c:v>25.862120999999998</c:v>
                </c:pt>
                <c:pt idx="65">
                  <c:v>26.266061000000001</c:v>
                </c:pt>
                <c:pt idx="66">
                  <c:v>26.67</c:v>
                </c:pt>
                <c:pt idx="67">
                  <c:v>27.073938999999999</c:v>
                </c:pt>
                <c:pt idx="68">
                  <c:v>27.477879000000001</c:v>
                </c:pt>
                <c:pt idx="69">
                  <c:v>27.881817999999999</c:v>
                </c:pt>
                <c:pt idx="70">
                  <c:v>28.285758000000001</c:v>
                </c:pt>
                <c:pt idx="71">
                  <c:v>28.689696999999999</c:v>
                </c:pt>
                <c:pt idx="72">
                  <c:v>29.093636</c:v>
                </c:pt>
                <c:pt idx="73">
                  <c:v>29.497575999999999</c:v>
                </c:pt>
                <c:pt idx="74">
                  <c:v>29.901515</c:v>
                </c:pt>
                <c:pt idx="75">
                  <c:v>30.305454999999998</c:v>
                </c:pt>
                <c:pt idx="76">
                  <c:v>30.709394</c:v>
                </c:pt>
                <c:pt idx="77">
                  <c:v>31.113333000000001</c:v>
                </c:pt>
                <c:pt idx="78">
                  <c:v>31.517272999999999</c:v>
                </c:pt>
                <c:pt idx="79">
                  <c:v>31.921212000000001</c:v>
                </c:pt>
                <c:pt idx="80">
                  <c:v>32.325152000000003</c:v>
                </c:pt>
                <c:pt idx="81">
                  <c:v>32.729090999999997</c:v>
                </c:pt>
                <c:pt idx="82">
                  <c:v>33.133029999999998</c:v>
                </c:pt>
                <c:pt idx="83">
                  <c:v>33.536969999999997</c:v>
                </c:pt>
                <c:pt idx="84">
                  <c:v>33.940908999999998</c:v>
                </c:pt>
                <c:pt idx="85">
                  <c:v>34.344847999999999</c:v>
                </c:pt>
                <c:pt idx="86">
                  <c:v>34.748787999999998</c:v>
                </c:pt>
                <c:pt idx="87">
                  <c:v>35.152726999999999</c:v>
                </c:pt>
                <c:pt idx="88">
                  <c:v>35.556666999999997</c:v>
                </c:pt>
                <c:pt idx="89">
                  <c:v>35.960605999999999</c:v>
                </c:pt>
                <c:pt idx="90">
                  <c:v>36.364545</c:v>
                </c:pt>
                <c:pt idx="91">
                  <c:v>36.768484999999998</c:v>
                </c:pt>
                <c:pt idx="92">
                  <c:v>37.172423999999999</c:v>
                </c:pt>
                <c:pt idx="93">
                  <c:v>37.576363999999998</c:v>
                </c:pt>
                <c:pt idx="94">
                  <c:v>37.980302999999999</c:v>
                </c:pt>
                <c:pt idx="95">
                  <c:v>38.384242</c:v>
                </c:pt>
                <c:pt idx="96">
                  <c:v>38.788181999999999</c:v>
                </c:pt>
                <c:pt idx="97">
                  <c:v>39.192121</c:v>
                </c:pt>
                <c:pt idx="98">
                  <c:v>39.596060999999999</c:v>
                </c:pt>
                <c:pt idx="99">
                  <c:v>40</c:v>
                </c:pt>
              </c:numCache>
            </c:numRef>
          </c:cat>
          <c:val>
            <c:numRef>
              <c:f>'Exp-Pareto'!$F$9:$F$108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53-410F-A255-8C7B82141AC1}"/>
            </c:ext>
          </c:extLst>
        </c:ser>
        <c:ser>
          <c:idx val="1"/>
          <c:order val="1"/>
          <c:tx>
            <c:strRef>
              <c:f>'Exp-Pareto'!$G$8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'Exp-Pareto'!$D$9:$D$108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0.413939</c:v>
                </c:pt>
                <c:pt idx="2">
                  <c:v>0.81787900000000002</c:v>
                </c:pt>
                <c:pt idx="3">
                  <c:v>1.2218180000000001</c:v>
                </c:pt>
                <c:pt idx="4">
                  <c:v>1.625758</c:v>
                </c:pt>
                <c:pt idx="5">
                  <c:v>2.0296970000000001</c:v>
                </c:pt>
                <c:pt idx="6">
                  <c:v>2.4336359999999999</c:v>
                </c:pt>
                <c:pt idx="7">
                  <c:v>2.8375759999999999</c:v>
                </c:pt>
                <c:pt idx="8">
                  <c:v>3.2415150000000001</c:v>
                </c:pt>
                <c:pt idx="9">
                  <c:v>3.6454550000000001</c:v>
                </c:pt>
                <c:pt idx="10">
                  <c:v>4.0493940000000004</c:v>
                </c:pt>
                <c:pt idx="11">
                  <c:v>4.4533329999999998</c:v>
                </c:pt>
                <c:pt idx="12">
                  <c:v>4.8572730000000002</c:v>
                </c:pt>
                <c:pt idx="13">
                  <c:v>5.2612120000000004</c:v>
                </c:pt>
                <c:pt idx="14">
                  <c:v>5.665152</c:v>
                </c:pt>
                <c:pt idx="15">
                  <c:v>6.0690910000000002</c:v>
                </c:pt>
                <c:pt idx="16">
                  <c:v>6.4730299999999996</c:v>
                </c:pt>
                <c:pt idx="17">
                  <c:v>6.87697</c:v>
                </c:pt>
                <c:pt idx="18">
                  <c:v>7.2809090000000003</c:v>
                </c:pt>
                <c:pt idx="19">
                  <c:v>7.6848479999999997</c:v>
                </c:pt>
                <c:pt idx="20">
                  <c:v>8.0887879999999992</c:v>
                </c:pt>
                <c:pt idx="21">
                  <c:v>8.4927270000000004</c:v>
                </c:pt>
                <c:pt idx="22">
                  <c:v>8.8966670000000008</c:v>
                </c:pt>
                <c:pt idx="23">
                  <c:v>9.3006060000000002</c:v>
                </c:pt>
                <c:pt idx="24">
                  <c:v>9.7045449999999995</c:v>
                </c:pt>
                <c:pt idx="25">
                  <c:v>10.108485</c:v>
                </c:pt>
                <c:pt idx="26">
                  <c:v>10.512423999999999</c:v>
                </c:pt>
                <c:pt idx="27">
                  <c:v>10.916364</c:v>
                </c:pt>
                <c:pt idx="28">
                  <c:v>11.320302999999999</c:v>
                </c:pt>
                <c:pt idx="29">
                  <c:v>11.724242</c:v>
                </c:pt>
                <c:pt idx="30">
                  <c:v>12.128182000000001</c:v>
                </c:pt>
                <c:pt idx="31">
                  <c:v>12.532121</c:v>
                </c:pt>
                <c:pt idx="32">
                  <c:v>12.936061</c:v>
                </c:pt>
                <c:pt idx="33">
                  <c:v>13.34</c:v>
                </c:pt>
                <c:pt idx="34">
                  <c:v>13.743938999999999</c:v>
                </c:pt>
                <c:pt idx="35">
                  <c:v>14.147879</c:v>
                </c:pt>
                <c:pt idx="36">
                  <c:v>14.551818000000001</c:v>
                </c:pt>
                <c:pt idx="37">
                  <c:v>14.955757999999999</c:v>
                </c:pt>
                <c:pt idx="38">
                  <c:v>15.359697000000001</c:v>
                </c:pt>
                <c:pt idx="39">
                  <c:v>15.763636</c:v>
                </c:pt>
                <c:pt idx="40">
                  <c:v>16.167576</c:v>
                </c:pt>
                <c:pt idx="41">
                  <c:v>16.571515000000002</c:v>
                </c:pt>
                <c:pt idx="42">
                  <c:v>16.975455</c:v>
                </c:pt>
                <c:pt idx="43">
                  <c:v>17.379394000000001</c:v>
                </c:pt>
                <c:pt idx="44">
                  <c:v>17.783332999999999</c:v>
                </c:pt>
                <c:pt idx="45">
                  <c:v>18.187273000000001</c:v>
                </c:pt>
                <c:pt idx="46">
                  <c:v>18.591211999999999</c:v>
                </c:pt>
                <c:pt idx="47">
                  <c:v>18.995152000000001</c:v>
                </c:pt>
                <c:pt idx="48">
                  <c:v>19.399090999999999</c:v>
                </c:pt>
                <c:pt idx="49">
                  <c:v>19.80303</c:v>
                </c:pt>
                <c:pt idx="50">
                  <c:v>20.206969999999998</c:v>
                </c:pt>
                <c:pt idx="51">
                  <c:v>20.610908999999999</c:v>
                </c:pt>
                <c:pt idx="52">
                  <c:v>21.014848000000001</c:v>
                </c:pt>
                <c:pt idx="53">
                  <c:v>21.418787999999999</c:v>
                </c:pt>
                <c:pt idx="54">
                  <c:v>21.822727</c:v>
                </c:pt>
                <c:pt idx="55">
                  <c:v>22.226666999999999</c:v>
                </c:pt>
                <c:pt idx="56">
                  <c:v>22.630606</c:v>
                </c:pt>
                <c:pt idx="57">
                  <c:v>23.034545000000001</c:v>
                </c:pt>
                <c:pt idx="58">
                  <c:v>23.438485</c:v>
                </c:pt>
                <c:pt idx="59">
                  <c:v>23.842424000000001</c:v>
                </c:pt>
                <c:pt idx="60">
                  <c:v>24.246364</c:v>
                </c:pt>
                <c:pt idx="61">
                  <c:v>24.650303000000001</c:v>
                </c:pt>
                <c:pt idx="62">
                  <c:v>25.054241999999999</c:v>
                </c:pt>
                <c:pt idx="63">
                  <c:v>25.458182000000001</c:v>
                </c:pt>
                <c:pt idx="64">
                  <c:v>25.862120999999998</c:v>
                </c:pt>
                <c:pt idx="65">
                  <c:v>26.266061000000001</c:v>
                </c:pt>
                <c:pt idx="66">
                  <c:v>26.67</c:v>
                </c:pt>
                <c:pt idx="67">
                  <c:v>27.073938999999999</c:v>
                </c:pt>
                <c:pt idx="68">
                  <c:v>27.477879000000001</c:v>
                </c:pt>
                <c:pt idx="69">
                  <c:v>27.881817999999999</c:v>
                </c:pt>
                <c:pt idx="70">
                  <c:v>28.285758000000001</c:v>
                </c:pt>
                <c:pt idx="71">
                  <c:v>28.689696999999999</c:v>
                </c:pt>
                <c:pt idx="72">
                  <c:v>29.093636</c:v>
                </c:pt>
                <c:pt idx="73">
                  <c:v>29.497575999999999</c:v>
                </c:pt>
                <c:pt idx="74">
                  <c:v>29.901515</c:v>
                </c:pt>
                <c:pt idx="75">
                  <c:v>30.305454999999998</c:v>
                </c:pt>
                <c:pt idx="76">
                  <c:v>30.709394</c:v>
                </c:pt>
                <c:pt idx="77">
                  <c:v>31.113333000000001</c:v>
                </c:pt>
                <c:pt idx="78">
                  <c:v>31.517272999999999</c:v>
                </c:pt>
                <c:pt idx="79">
                  <c:v>31.921212000000001</c:v>
                </c:pt>
                <c:pt idx="80">
                  <c:v>32.325152000000003</c:v>
                </c:pt>
                <c:pt idx="81">
                  <c:v>32.729090999999997</c:v>
                </c:pt>
                <c:pt idx="82">
                  <c:v>33.133029999999998</c:v>
                </c:pt>
                <c:pt idx="83">
                  <c:v>33.536969999999997</c:v>
                </c:pt>
                <c:pt idx="84">
                  <c:v>33.940908999999998</c:v>
                </c:pt>
                <c:pt idx="85">
                  <c:v>34.344847999999999</c:v>
                </c:pt>
                <c:pt idx="86">
                  <c:v>34.748787999999998</c:v>
                </c:pt>
                <c:pt idx="87">
                  <c:v>35.152726999999999</c:v>
                </c:pt>
                <c:pt idx="88">
                  <c:v>35.556666999999997</c:v>
                </c:pt>
                <c:pt idx="89">
                  <c:v>35.960605999999999</c:v>
                </c:pt>
                <c:pt idx="90">
                  <c:v>36.364545</c:v>
                </c:pt>
                <c:pt idx="91">
                  <c:v>36.768484999999998</c:v>
                </c:pt>
                <c:pt idx="92">
                  <c:v>37.172423999999999</c:v>
                </c:pt>
                <c:pt idx="93">
                  <c:v>37.576363999999998</c:v>
                </c:pt>
                <c:pt idx="94">
                  <c:v>37.980302999999999</c:v>
                </c:pt>
                <c:pt idx="95">
                  <c:v>38.384242</c:v>
                </c:pt>
                <c:pt idx="96">
                  <c:v>38.788181999999999</c:v>
                </c:pt>
                <c:pt idx="97">
                  <c:v>39.192121</c:v>
                </c:pt>
                <c:pt idx="98">
                  <c:v>39.596060999999999</c:v>
                </c:pt>
                <c:pt idx="99">
                  <c:v>40</c:v>
                </c:pt>
              </c:numCache>
            </c:numRef>
          </c:cat>
          <c:val>
            <c:numRef>
              <c:f>'Exp-Pareto'!$G$9:$G$108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53-410F-A255-8C7B82141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Pow-Pareto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'Pow-Pareto'!$E$8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'Pow-Pareto'!$D$9:$D$108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0.211919</c:v>
                </c:pt>
                <c:pt idx="2">
                  <c:v>0.41383799999999998</c:v>
                </c:pt>
                <c:pt idx="3">
                  <c:v>0.61575800000000003</c:v>
                </c:pt>
                <c:pt idx="4">
                  <c:v>0.81767699999999999</c:v>
                </c:pt>
                <c:pt idx="5">
                  <c:v>1.0195959999999999</c:v>
                </c:pt>
                <c:pt idx="6">
                  <c:v>1.2215149999999999</c:v>
                </c:pt>
                <c:pt idx="7">
                  <c:v>1.4234340000000001</c:v>
                </c:pt>
                <c:pt idx="8">
                  <c:v>1.625354</c:v>
                </c:pt>
                <c:pt idx="9">
                  <c:v>1.8272729999999999</c:v>
                </c:pt>
                <c:pt idx="10">
                  <c:v>2.0291920000000001</c:v>
                </c:pt>
                <c:pt idx="11">
                  <c:v>2.2311109999999998</c:v>
                </c:pt>
                <c:pt idx="12">
                  <c:v>2.43303</c:v>
                </c:pt>
                <c:pt idx="13">
                  <c:v>2.6349490000000002</c:v>
                </c:pt>
                <c:pt idx="14">
                  <c:v>2.8368690000000001</c:v>
                </c:pt>
                <c:pt idx="15">
                  <c:v>3.0387879999999998</c:v>
                </c:pt>
                <c:pt idx="16">
                  <c:v>3.240707</c:v>
                </c:pt>
                <c:pt idx="17">
                  <c:v>3.4426260000000002</c:v>
                </c:pt>
                <c:pt idx="18">
                  <c:v>3.6445449999999999</c:v>
                </c:pt>
                <c:pt idx="19">
                  <c:v>3.8464649999999998</c:v>
                </c:pt>
                <c:pt idx="20">
                  <c:v>4.0483840000000004</c:v>
                </c:pt>
                <c:pt idx="21">
                  <c:v>4.2503029999999997</c:v>
                </c:pt>
                <c:pt idx="22">
                  <c:v>4.4522219999999999</c:v>
                </c:pt>
                <c:pt idx="23">
                  <c:v>4.6541410000000001</c:v>
                </c:pt>
                <c:pt idx="24">
                  <c:v>4.8560610000000004</c:v>
                </c:pt>
                <c:pt idx="25">
                  <c:v>5.0579799999999997</c:v>
                </c:pt>
                <c:pt idx="26">
                  <c:v>5.2598989999999999</c:v>
                </c:pt>
                <c:pt idx="27">
                  <c:v>5.4618180000000001</c:v>
                </c:pt>
                <c:pt idx="28">
                  <c:v>5.6637370000000002</c:v>
                </c:pt>
                <c:pt idx="29">
                  <c:v>5.8656569999999997</c:v>
                </c:pt>
                <c:pt idx="30">
                  <c:v>6.0675759999999999</c:v>
                </c:pt>
                <c:pt idx="31">
                  <c:v>6.269495</c:v>
                </c:pt>
                <c:pt idx="32">
                  <c:v>6.4714140000000002</c:v>
                </c:pt>
                <c:pt idx="33">
                  <c:v>6.6733330000000004</c:v>
                </c:pt>
                <c:pt idx="34">
                  <c:v>6.8752529999999998</c:v>
                </c:pt>
                <c:pt idx="35">
                  <c:v>7.077172</c:v>
                </c:pt>
                <c:pt idx="36">
                  <c:v>7.2790910000000002</c:v>
                </c:pt>
                <c:pt idx="37">
                  <c:v>7.4810100000000004</c:v>
                </c:pt>
                <c:pt idx="38">
                  <c:v>7.6829289999999997</c:v>
                </c:pt>
                <c:pt idx="39">
                  <c:v>7.8848479999999999</c:v>
                </c:pt>
                <c:pt idx="40">
                  <c:v>8.0867679999999993</c:v>
                </c:pt>
                <c:pt idx="41">
                  <c:v>8.2886869999999995</c:v>
                </c:pt>
                <c:pt idx="42">
                  <c:v>8.4906059999999997</c:v>
                </c:pt>
                <c:pt idx="43">
                  <c:v>8.6925249999999998</c:v>
                </c:pt>
                <c:pt idx="44">
                  <c:v>8.894444</c:v>
                </c:pt>
                <c:pt idx="45">
                  <c:v>9.0963639999999995</c:v>
                </c:pt>
                <c:pt idx="46">
                  <c:v>9.2982829999999996</c:v>
                </c:pt>
                <c:pt idx="47">
                  <c:v>9.5002019999999998</c:v>
                </c:pt>
                <c:pt idx="48">
                  <c:v>9.702121</c:v>
                </c:pt>
                <c:pt idx="49">
                  <c:v>9.9040400000000002</c:v>
                </c:pt>
                <c:pt idx="50">
                  <c:v>10.10596</c:v>
                </c:pt>
                <c:pt idx="51">
                  <c:v>10.307879</c:v>
                </c:pt>
                <c:pt idx="52">
                  <c:v>10.509798</c:v>
                </c:pt>
                <c:pt idx="53">
                  <c:v>10.711717</c:v>
                </c:pt>
                <c:pt idx="54">
                  <c:v>10.913636</c:v>
                </c:pt>
                <c:pt idx="55">
                  <c:v>11.115556</c:v>
                </c:pt>
                <c:pt idx="56">
                  <c:v>11.317475</c:v>
                </c:pt>
                <c:pt idx="57">
                  <c:v>11.519394</c:v>
                </c:pt>
                <c:pt idx="58">
                  <c:v>11.721313</c:v>
                </c:pt>
                <c:pt idx="59">
                  <c:v>11.923232</c:v>
                </c:pt>
                <c:pt idx="60">
                  <c:v>12.125152</c:v>
                </c:pt>
                <c:pt idx="61">
                  <c:v>12.327071</c:v>
                </c:pt>
                <c:pt idx="62">
                  <c:v>12.52899</c:v>
                </c:pt>
                <c:pt idx="63">
                  <c:v>12.730909</c:v>
                </c:pt>
                <c:pt idx="64">
                  <c:v>12.932828000000001</c:v>
                </c:pt>
                <c:pt idx="65">
                  <c:v>13.134747000000001</c:v>
                </c:pt>
                <c:pt idx="66">
                  <c:v>13.336667</c:v>
                </c:pt>
                <c:pt idx="67">
                  <c:v>13.538586</c:v>
                </c:pt>
                <c:pt idx="68">
                  <c:v>13.740505000000001</c:v>
                </c:pt>
                <c:pt idx="69">
                  <c:v>13.942424000000001</c:v>
                </c:pt>
                <c:pt idx="70">
                  <c:v>14.144342999999999</c:v>
                </c:pt>
                <c:pt idx="71">
                  <c:v>14.346263</c:v>
                </c:pt>
                <c:pt idx="72">
                  <c:v>14.548182000000001</c:v>
                </c:pt>
                <c:pt idx="73">
                  <c:v>14.750101000000001</c:v>
                </c:pt>
                <c:pt idx="74">
                  <c:v>14.952019999999999</c:v>
                </c:pt>
                <c:pt idx="75">
                  <c:v>15.153938999999999</c:v>
                </c:pt>
                <c:pt idx="76">
                  <c:v>15.355859000000001</c:v>
                </c:pt>
                <c:pt idx="77">
                  <c:v>15.557778000000001</c:v>
                </c:pt>
                <c:pt idx="78">
                  <c:v>15.759696999999999</c:v>
                </c:pt>
                <c:pt idx="79">
                  <c:v>15.961615999999999</c:v>
                </c:pt>
                <c:pt idx="80">
                  <c:v>16.163535</c:v>
                </c:pt>
                <c:pt idx="81">
                  <c:v>16.365455000000001</c:v>
                </c:pt>
                <c:pt idx="82">
                  <c:v>16.567374000000001</c:v>
                </c:pt>
                <c:pt idx="83">
                  <c:v>16.769293000000001</c:v>
                </c:pt>
                <c:pt idx="84">
                  <c:v>16.971212000000001</c:v>
                </c:pt>
                <c:pt idx="85">
                  <c:v>17.173131000000001</c:v>
                </c:pt>
                <c:pt idx="86">
                  <c:v>17.375050999999999</c:v>
                </c:pt>
                <c:pt idx="87">
                  <c:v>17.576969999999999</c:v>
                </c:pt>
                <c:pt idx="88">
                  <c:v>17.778888999999999</c:v>
                </c:pt>
                <c:pt idx="89">
                  <c:v>17.980808</c:v>
                </c:pt>
                <c:pt idx="90">
                  <c:v>18.182727</c:v>
                </c:pt>
                <c:pt idx="91">
                  <c:v>18.384646</c:v>
                </c:pt>
                <c:pt idx="92">
                  <c:v>18.586566000000001</c:v>
                </c:pt>
                <c:pt idx="93">
                  <c:v>18.788485000000001</c:v>
                </c:pt>
                <c:pt idx="94">
                  <c:v>18.990404000000002</c:v>
                </c:pt>
                <c:pt idx="95">
                  <c:v>19.192322999999998</c:v>
                </c:pt>
                <c:pt idx="96">
                  <c:v>19.394241999999998</c:v>
                </c:pt>
                <c:pt idx="97">
                  <c:v>19.596162</c:v>
                </c:pt>
                <c:pt idx="98">
                  <c:v>19.798081</c:v>
                </c:pt>
                <c:pt idx="99">
                  <c:v>20</c:v>
                </c:pt>
              </c:numCache>
            </c:numRef>
          </c:cat>
          <c:val>
            <c:numRef>
              <c:f>'Pow-Pareto'!$E$9:$E$108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45-4845-85DD-29922AC9C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Pow-Pareto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'Pow-Pareto'!$F$8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'Pow-Pareto'!$D$9:$D$108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0.211919</c:v>
                </c:pt>
                <c:pt idx="2">
                  <c:v>0.41383799999999998</c:v>
                </c:pt>
                <c:pt idx="3">
                  <c:v>0.61575800000000003</c:v>
                </c:pt>
                <c:pt idx="4">
                  <c:v>0.81767699999999999</c:v>
                </c:pt>
                <c:pt idx="5">
                  <c:v>1.0195959999999999</c:v>
                </c:pt>
                <c:pt idx="6">
                  <c:v>1.2215149999999999</c:v>
                </c:pt>
                <c:pt idx="7">
                  <c:v>1.4234340000000001</c:v>
                </c:pt>
                <c:pt idx="8">
                  <c:v>1.625354</c:v>
                </c:pt>
                <c:pt idx="9">
                  <c:v>1.8272729999999999</c:v>
                </c:pt>
                <c:pt idx="10">
                  <c:v>2.0291920000000001</c:v>
                </c:pt>
                <c:pt idx="11">
                  <c:v>2.2311109999999998</c:v>
                </c:pt>
                <c:pt idx="12">
                  <c:v>2.43303</c:v>
                </c:pt>
                <c:pt idx="13">
                  <c:v>2.6349490000000002</c:v>
                </c:pt>
                <c:pt idx="14">
                  <c:v>2.8368690000000001</c:v>
                </c:pt>
                <c:pt idx="15">
                  <c:v>3.0387879999999998</c:v>
                </c:pt>
                <c:pt idx="16">
                  <c:v>3.240707</c:v>
                </c:pt>
                <c:pt idx="17">
                  <c:v>3.4426260000000002</c:v>
                </c:pt>
                <c:pt idx="18">
                  <c:v>3.6445449999999999</c:v>
                </c:pt>
                <c:pt idx="19">
                  <c:v>3.8464649999999998</c:v>
                </c:pt>
                <c:pt idx="20">
                  <c:v>4.0483840000000004</c:v>
                </c:pt>
                <c:pt idx="21">
                  <c:v>4.2503029999999997</c:v>
                </c:pt>
                <c:pt idx="22">
                  <c:v>4.4522219999999999</c:v>
                </c:pt>
                <c:pt idx="23">
                  <c:v>4.6541410000000001</c:v>
                </c:pt>
                <c:pt idx="24">
                  <c:v>4.8560610000000004</c:v>
                </c:pt>
                <c:pt idx="25">
                  <c:v>5.0579799999999997</c:v>
                </c:pt>
                <c:pt idx="26">
                  <c:v>5.2598989999999999</c:v>
                </c:pt>
                <c:pt idx="27">
                  <c:v>5.4618180000000001</c:v>
                </c:pt>
                <c:pt idx="28">
                  <c:v>5.6637370000000002</c:v>
                </c:pt>
                <c:pt idx="29">
                  <c:v>5.8656569999999997</c:v>
                </c:pt>
                <c:pt idx="30">
                  <c:v>6.0675759999999999</c:v>
                </c:pt>
                <c:pt idx="31">
                  <c:v>6.269495</c:v>
                </c:pt>
                <c:pt idx="32">
                  <c:v>6.4714140000000002</c:v>
                </c:pt>
                <c:pt idx="33">
                  <c:v>6.6733330000000004</c:v>
                </c:pt>
                <c:pt idx="34">
                  <c:v>6.8752529999999998</c:v>
                </c:pt>
                <c:pt idx="35">
                  <c:v>7.077172</c:v>
                </c:pt>
                <c:pt idx="36">
                  <c:v>7.2790910000000002</c:v>
                </c:pt>
                <c:pt idx="37">
                  <c:v>7.4810100000000004</c:v>
                </c:pt>
                <c:pt idx="38">
                  <c:v>7.6829289999999997</c:v>
                </c:pt>
                <c:pt idx="39">
                  <c:v>7.8848479999999999</c:v>
                </c:pt>
                <c:pt idx="40">
                  <c:v>8.0867679999999993</c:v>
                </c:pt>
                <c:pt idx="41">
                  <c:v>8.2886869999999995</c:v>
                </c:pt>
                <c:pt idx="42">
                  <c:v>8.4906059999999997</c:v>
                </c:pt>
                <c:pt idx="43">
                  <c:v>8.6925249999999998</c:v>
                </c:pt>
                <c:pt idx="44">
                  <c:v>8.894444</c:v>
                </c:pt>
                <c:pt idx="45">
                  <c:v>9.0963639999999995</c:v>
                </c:pt>
                <c:pt idx="46">
                  <c:v>9.2982829999999996</c:v>
                </c:pt>
                <c:pt idx="47">
                  <c:v>9.5002019999999998</c:v>
                </c:pt>
                <c:pt idx="48">
                  <c:v>9.702121</c:v>
                </c:pt>
                <c:pt idx="49">
                  <c:v>9.9040400000000002</c:v>
                </c:pt>
                <c:pt idx="50">
                  <c:v>10.10596</c:v>
                </c:pt>
                <c:pt idx="51">
                  <c:v>10.307879</c:v>
                </c:pt>
                <c:pt idx="52">
                  <c:v>10.509798</c:v>
                </c:pt>
                <c:pt idx="53">
                  <c:v>10.711717</c:v>
                </c:pt>
                <c:pt idx="54">
                  <c:v>10.913636</c:v>
                </c:pt>
                <c:pt idx="55">
                  <c:v>11.115556</c:v>
                </c:pt>
                <c:pt idx="56">
                  <c:v>11.317475</c:v>
                </c:pt>
                <c:pt idx="57">
                  <c:v>11.519394</c:v>
                </c:pt>
                <c:pt idx="58">
                  <c:v>11.721313</c:v>
                </c:pt>
                <c:pt idx="59">
                  <c:v>11.923232</c:v>
                </c:pt>
                <c:pt idx="60">
                  <c:v>12.125152</c:v>
                </c:pt>
                <c:pt idx="61">
                  <c:v>12.327071</c:v>
                </c:pt>
                <c:pt idx="62">
                  <c:v>12.52899</c:v>
                </c:pt>
                <c:pt idx="63">
                  <c:v>12.730909</c:v>
                </c:pt>
                <c:pt idx="64">
                  <c:v>12.932828000000001</c:v>
                </c:pt>
                <c:pt idx="65">
                  <c:v>13.134747000000001</c:v>
                </c:pt>
                <c:pt idx="66">
                  <c:v>13.336667</c:v>
                </c:pt>
                <c:pt idx="67">
                  <c:v>13.538586</c:v>
                </c:pt>
                <c:pt idx="68">
                  <c:v>13.740505000000001</c:v>
                </c:pt>
                <c:pt idx="69">
                  <c:v>13.942424000000001</c:v>
                </c:pt>
                <c:pt idx="70">
                  <c:v>14.144342999999999</c:v>
                </c:pt>
                <c:pt idx="71">
                  <c:v>14.346263</c:v>
                </c:pt>
                <c:pt idx="72">
                  <c:v>14.548182000000001</c:v>
                </c:pt>
                <c:pt idx="73">
                  <c:v>14.750101000000001</c:v>
                </c:pt>
                <c:pt idx="74">
                  <c:v>14.952019999999999</c:v>
                </c:pt>
                <c:pt idx="75">
                  <c:v>15.153938999999999</c:v>
                </c:pt>
                <c:pt idx="76">
                  <c:v>15.355859000000001</c:v>
                </c:pt>
                <c:pt idx="77">
                  <c:v>15.557778000000001</c:v>
                </c:pt>
                <c:pt idx="78">
                  <c:v>15.759696999999999</c:v>
                </c:pt>
                <c:pt idx="79">
                  <c:v>15.961615999999999</c:v>
                </c:pt>
                <c:pt idx="80">
                  <c:v>16.163535</c:v>
                </c:pt>
                <c:pt idx="81">
                  <c:v>16.365455000000001</c:v>
                </c:pt>
                <c:pt idx="82">
                  <c:v>16.567374000000001</c:v>
                </c:pt>
                <c:pt idx="83">
                  <c:v>16.769293000000001</c:v>
                </c:pt>
                <c:pt idx="84">
                  <c:v>16.971212000000001</c:v>
                </c:pt>
                <c:pt idx="85">
                  <c:v>17.173131000000001</c:v>
                </c:pt>
                <c:pt idx="86">
                  <c:v>17.375050999999999</c:v>
                </c:pt>
                <c:pt idx="87">
                  <c:v>17.576969999999999</c:v>
                </c:pt>
                <c:pt idx="88">
                  <c:v>17.778888999999999</c:v>
                </c:pt>
                <c:pt idx="89">
                  <c:v>17.980808</c:v>
                </c:pt>
                <c:pt idx="90">
                  <c:v>18.182727</c:v>
                </c:pt>
                <c:pt idx="91">
                  <c:v>18.384646</c:v>
                </c:pt>
                <c:pt idx="92">
                  <c:v>18.586566000000001</c:v>
                </c:pt>
                <c:pt idx="93">
                  <c:v>18.788485000000001</c:v>
                </c:pt>
                <c:pt idx="94">
                  <c:v>18.990404000000002</c:v>
                </c:pt>
                <c:pt idx="95">
                  <c:v>19.192322999999998</c:v>
                </c:pt>
                <c:pt idx="96">
                  <c:v>19.394241999999998</c:v>
                </c:pt>
                <c:pt idx="97">
                  <c:v>19.596162</c:v>
                </c:pt>
                <c:pt idx="98">
                  <c:v>19.798081</c:v>
                </c:pt>
                <c:pt idx="99">
                  <c:v>20</c:v>
                </c:pt>
              </c:numCache>
            </c:numRef>
          </c:cat>
          <c:val>
            <c:numRef>
              <c:f>'Pow-Pareto'!$F$9:$F$108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B0-4FED-8BC7-1D418A91CCA3}"/>
            </c:ext>
          </c:extLst>
        </c:ser>
        <c:ser>
          <c:idx val="1"/>
          <c:order val="1"/>
          <c:tx>
            <c:strRef>
              <c:f>'Pow-Pareto'!$G$8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'Pow-Pareto'!$D$9:$D$108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0.211919</c:v>
                </c:pt>
                <c:pt idx="2">
                  <c:v>0.41383799999999998</c:v>
                </c:pt>
                <c:pt idx="3">
                  <c:v>0.61575800000000003</c:v>
                </c:pt>
                <c:pt idx="4">
                  <c:v>0.81767699999999999</c:v>
                </c:pt>
                <c:pt idx="5">
                  <c:v>1.0195959999999999</c:v>
                </c:pt>
                <c:pt idx="6">
                  <c:v>1.2215149999999999</c:v>
                </c:pt>
                <c:pt idx="7">
                  <c:v>1.4234340000000001</c:v>
                </c:pt>
                <c:pt idx="8">
                  <c:v>1.625354</c:v>
                </c:pt>
                <c:pt idx="9">
                  <c:v>1.8272729999999999</c:v>
                </c:pt>
                <c:pt idx="10">
                  <c:v>2.0291920000000001</c:v>
                </c:pt>
                <c:pt idx="11">
                  <c:v>2.2311109999999998</c:v>
                </c:pt>
                <c:pt idx="12">
                  <c:v>2.43303</c:v>
                </c:pt>
                <c:pt idx="13">
                  <c:v>2.6349490000000002</c:v>
                </c:pt>
                <c:pt idx="14">
                  <c:v>2.8368690000000001</c:v>
                </c:pt>
                <c:pt idx="15">
                  <c:v>3.0387879999999998</c:v>
                </c:pt>
                <c:pt idx="16">
                  <c:v>3.240707</c:v>
                </c:pt>
                <c:pt idx="17">
                  <c:v>3.4426260000000002</c:v>
                </c:pt>
                <c:pt idx="18">
                  <c:v>3.6445449999999999</c:v>
                </c:pt>
                <c:pt idx="19">
                  <c:v>3.8464649999999998</c:v>
                </c:pt>
                <c:pt idx="20">
                  <c:v>4.0483840000000004</c:v>
                </c:pt>
                <c:pt idx="21">
                  <c:v>4.2503029999999997</c:v>
                </c:pt>
                <c:pt idx="22">
                  <c:v>4.4522219999999999</c:v>
                </c:pt>
                <c:pt idx="23">
                  <c:v>4.6541410000000001</c:v>
                </c:pt>
                <c:pt idx="24">
                  <c:v>4.8560610000000004</c:v>
                </c:pt>
                <c:pt idx="25">
                  <c:v>5.0579799999999997</c:v>
                </c:pt>
                <c:pt idx="26">
                  <c:v>5.2598989999999999</c:v>
                </c:pt>
                <c:pt idx="27">
                  <c:v>5.4618180000000001</c:v>
                </c:pt>
                <c:pt idx="28">
                  <c:v>5.6637370000000002</c:v>
                </c:pt>
                <c:pt idx="29">
                  <c:v>5.8656569999999997</c:v>
                </c:pt>
                <c:pt idx="30">
                  <c:v>6.0675759999999999</c:v>
                </c:pt>
                <c:pt idx="31">
                  <c:v>6.269495</c:v>
                </c:pt>
                <c:pt idx="32">
                  <c:v>6.4714140000000002</c:v>
                </c:pt>
                <c:pt idx="33">
                  <c:v>6.6733330000000004</c:v>
                </c:pt>
                <c:pt idx="34">
                  <c:v>6.8752529999999998</c:v>
                </c:pt>
                <c:pt idx="35">
                  <c:v>7.077172</c:v>
                </c:pt>
                <c:pt idx="36">
                  <c:v>7.2790910000000002</c:v>
                </c:pt>
                <c:pt idx="37">
                  <c:v>7.4810100000000004</c:v>
                </c:pt>
                <c:pt idx="38">
                  <c:v>7.6829289999999997</c:v>
                </c:pt>
                <c:pt idx="39">
                  <c:v>7.8848479999999999</c:v>
                </c:pt>
                <c:pt idx="40">
                  <c:v>8.0867679999999993</c:v>
                </c:pt>
                <c:pt idx="41">
                  <c:v>8.2886869999999995</c:v>
                </c:pt>
                <c:pt idx="42">
                  <c:v>8.4906059999999997</c:v>
                </c:pt>
                <c:pt idx="43">
                  <c:v>8.6925249999999998</c:v>
                </c:pt>
                <c:pt idx="44">
                  <c:v>8.894444</c:v>
                </c:pt>
                <c:pt idx="45">
                  <c:v>9.0963639999999995</c:v>
                </c:pt>
                <c:pt idx="46">
                  <c:v>9.2982829999999996</c:v>
                </c:pt>
                <c:pt idx="47">
                  <c:v>9.5002019999999998</c:v>
                </c:pt>
                <c:pt idx="48">
                  <c:v>9.702121</c:v>
                </c:pt>
                <c:pt idx="49">
                  <c:v>9.9040400000000002</c:v>
                </c:pt>
                <c:pt idx="50">
                  <c:v>10.10596</c:v>
                </c:pt>
                <c:pt idx="51">
                  <c:v>10.307879</c:v>
                </c:pt>
                <c:pt idx="52">
                  <c:v>10.509798</c:v>
                </c:pt>
                <c:pt idx="53">
                  <c:v>10.711717</c:v>
                </c:pt>
                <c:pt idx="54">
                  <c:v>10.913636</c:v>
                </c:pt>
                <c:pt idx="55">
                  <c:v>11.115556</c:v>
                </c:pt>
                <c:pt idx="56">
                  <c:v>11.317475</c:v>
                </c:pt>
                <c:pt idx="57">
                  <c:v>11.519394</c:v>
                </c:pt>
                <c:pt idx="58">
                  <c:v>11.721313</c:v>
                </c:pt>
                <c:pt idx="59">
                  <c:v>11.923232</c:v>
                </c:pt>
                <c:pt idx="60">
                  <c:v>12.125152</c:v>
                </c:pt>
                <c:pt idx="61">
                  <c:v>12.327071</c:v>
                </c:pt>
                <c:pt idx="62">
                  <c:v>12.52899</c:v>
                </c:pt>
                <c:pt idx="63">
                  <c:v>12.730909</c:v>
                </c:pt>
                <c:pt idx="64">
                  <c:v>12.932828000000001</c:v>
                </c:pt>
                <c:pt idx="65">
                  <c:v>13.134747000000001</c:v>
                </c:pt>
                <c:pt idx="66">
                  <c:v>13.336667</c:v>
                </c:pt>
                <c:pt idx="67">
                  <c:v>13.538586</c:v>
                </c:pt>
                <c:pt idx="68">
                  <c:v>13.740505000000001</c:v>
                </c:pt>
                <c:pt idx="69">
                  <c:v>13.942424000000001</c:v>
                </c:pt>
                <c:pt idx="70">
                  <c:v>14.144342999999999</c:v>
                </c:pt>
                <c:pt idx="71">
                  <c:v>14.346263</c:v>
                </c:pt>
                <c:pt idx="72">
                  <c:v>14.548182000000001</c:v>
                </c:pt>
                <c:pt idx="73">
                  <c:v>14.750101000000001</c:v>
                </c:pt>
                <c:pt idx="74">
                  <c:v>14.952019999999999</c:v>
                </c:pt>
                <c:pt idx="75">
                  <c:v>15.153938999999999</c:v>
                </c:pt>
                <c:pt idx="76">
                  <c:v>15.355859000000001</c:v>
                </c:pt>
                <c:pt idx="77">
                  <c:v>15.557778000000001</c:v>
                </c:pt>
                <c:pt idx="78">
                  <c:v>15.759696999999999</c:v>
                </c:pt>
                <c:pt idx="79">
                  <c:v>15.961615999999999</c:v>
                </c:pt>
                <c:pt idx="80">
                  <c:v>16.163535</c:v>
                </c:pt>
                <c:pt idx="81">
                  <c:v>16.365455000000001</c:v>
                </c:pt>
                <c:pt idx="82">
                  <c:v>16.567374000000001</c:v>
                </c:pt>
                <c:pt idx="83">
                  <c:v>16.769293000000001</c:v>
                </c:pt>
                <c:pt idx="84">
                  <c:v>16.971212000000001</c:v>
                </c:pt>
                <c:pt idx="85">
                  <c:v>17.173131000000001</c:v>
                </c:pt>
                <c:pt idx="86">
                  <c:v>17.375050999999999</c:v>
                </c:pt>
                <c:pt idx="87">
                  <c:v>17.576969999999999</c:v>
                </c:pt>
                <c:pt idx="88">
                  <c:v>17.778888999999999</c:v>
                </c:pt>
                <c:pt idx="89">
                  <c:v>17.980808</c:v>
                </c:pt>
                <c:pt idx="90">
                  <c:v>18.182727</c:v>
                </c:pt>
                <c:pt idx="91">
                  <c:v>18.384646</c:v>
                </c:pt>
                <c:pt idx="92">
                  <c:v>18.586566000000001</c:v>
                </c:pt>
                <c:pt idx="93">
                  <c:v>18.788485000000001</c:v>
                </c:pt>
                <c:pt idx="94">
                  <c:v>18.990404000000002</c:v>
                </c:pt>
                <c:pt idx="95">
                  <c:v>19.192322999999998</c:v>
                </c:pt>
                <c:pt idx="96">
                  <c:v>19.394241999999998</c:v>
                </c:pt>
                <c:pt idx="97">
                  <c:v>19.596162</c:v>
                </c:pt>
                <c:pt idx="98">
                  <c:v>19.798081</c:v>
                </c:pt>
                <c:pt idx="99">
                  <c:v>20</c:v>
                </c:pt>
              </c:numCache>
            </c:numRef>
          </c:cat>
          <c:val>
            <c:numRef>
              <c:f>'Pow-Pareto'!$G$9:$G$108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B0-4FED-8BC7-1D418A91C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Pareto-4P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'Pareto-4P'!$E$8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'Pareto-4P'!$D$9:$D$108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0.51494899999999999</c:v>
                </c:pt>
                <c:pt idx="2">
                  <c:v>1.0198990000000001</c:v>
                </c:pt>
                <c:pt idx="3">
                  <c:v>1.524848</c:v>
                </c:pt>
                <c:pt idx="4">
                  <c:v>2.029798</c:v>
                </c:pt>
                <c:pt idx="5">
                  <c:v>2.5347469999999999</c:v>
                </c:pt>
                <c:pt idx="6">
                  <c:v>3.0396969999999999</c:v>
                </c:pt>
                <c:pt idx="7">
                  <c:v>3.5446460000000002</c:v>
                </c:pt>
                <c:pt idx="8">
                  <c:v>4.0495960000000002</c:v>
                </c:pt>
                <c:pt idx="9">
                  <c:v>4.5545450000000001</c:v>
                </c:pt>
                <c:pt idx="10">
                  <c:v>5.0594950000000001</c:v>
                </c:pt>
                <c:pt idx="11">
                  <c:v>5.5644439999999999</c:v>
                </c:pt>
                <c:pt idx="12">
                  <c:v>6.069394</c:v>
                </c:pt>
                <c:pt idx="13">
                  <c:v>6.5743429999999998</c:v>
                </c:pt>
                <c:pt idx="14">
                  <c:v>7.0792929999999998</c:v>
                </c:pt>
                <c:pt idx="15">
                  <c:v>7.5842419999999997</c:v>
                </c:pt>
                <c:pt idx="16">
                  <c:v>8.0891920000000006</c:v>
                </c:pt>
                <c:pt idx="17">
                  <c:v>8.5941410000000005</c:v>
                </c:pt>
                <c:pt idx="18">
                  <c:v>9.0990909999999996</c:v>
                </c:pt>
                <c:pt idx="19">
                  <c:v>9.6040399999999995</c:v>
                </c:pt>
                <c:pt idx="20">
                  <c:v>10.10899</c:v>
                </c:pt>
                <c:pt idx="21">
                  <c:v>10.613939</c:v>
                </c:pt>
                <c:pt idx="22">
                  <c:v>11.118888999999999</c:v>
                </c:pt>
                <c:pt idx="23">
                  <c:v>11.623837999999999</c:v>
                </c:pt>
                <c:pt idx="24">
                  <c:v>12.128788</c:v>
                </c:pt>
                <c:pt idx="25">
                  <c:v>12.633737</c:v>
                </c:pt>
                <c:pt idx="26">
                  <c:v>13.138686999999999</c:v>
                </c:pt>
                <c:pt idx="27">
                  <c:v>13.643636000000001</c:v>
                </c:pt>
                <c:pt idx="28">
                  <c:v>14.148586</c:v>
                </c:pt>
                <c:pt idx="29">
                  <c:v>14.653535</c:v>
                </c:pt>
                <c:pt idx="30">
                  <c:v>15.158485000000001</c:v>
                </c:pt>
                <c:pt idx="31">
                  <c:v>15.663434000000001</c:v>
                </c:pt>
                <c:pt idx="32">
                  <c:v>16.168384</c:v>
                </c:pt>
                <c:pt idx="33">
                  <c:v>16.673333</c:v>
                </c:pt>
                <c:pt idx="34">
                  <c:v>17.178283</c:v>
                </c:pt>
                <c:pt idx="35">
                  <c:v>17.683232</c:v>
                </c:pt>
                <c:pt idx="36">
                  <c:v>18.188182000000001</c:v>
                </c:pt>
                <c:pt idx="37">
                  <c:v>18.693131000000001</c:v>
                </c:pt>
                <c:pt idx="38">
                  <c:v>19.198080999999998</c:v>
                </c:pt>
                <c:pt idx="39">
                  <c:v>19.703029999999998</c:v>
                </c:pt>
                <c:pt idx="40">
                  <c:v>20.207979999999999</c:v>
                </c:pt>
                <c:pt idx="41">
                  <c:v>20.712928999999999</c:v>
                </c:pt>
                <c:pt idx="42">
                  <c:v>21.217879</c:v>
                </c:pt>
                <c:pt idx="43">
                  <c:v>21.722828</c:v>
                </c:pt>
                <c:pt idx="44">
                  <c:v>22.227778000000001</c:v>
                </c:pt>
                <c:pt idx="45">
                  <c:v>22.732727000000001</c:v>
                </c:pt>
                <c:pt idx="46">
                  <c:v>23.237677000000001</c:v>
                </c:pt>
                <c:pt idx="47">
                  <c:v>23.742626000000001</c:v>
                </c:pt>
                <c:pt idx="48">
                  <c:v>24.247575999999999</c:v>
                </c:pt>
                <c:pt idx="49">
                  <c:v>24.752524999999999</c:v>
                </c:pt>
                <c:pt idx="50">
                  <c:v>25.257474999999999</c:v>
                </c:pt>
                <c:pt idx="51">
                  <c:v>25.762423999999999</c:v>
                </c:pt>
                <c:pt idx="52">
                  <c:v>26.267374</c:v>
                </c:pt>
                <c:pt idx="53">
                  <c:v>26.772323</c:v>
                </c:pt>
                <c:pt idx="54">
                  <c:v>27.277273000000001</c:v>
                </c:pt>
                <c:pt idx="55">
                  <c:v>27.782222000000001</c:v>
                </c:pt>
                <c:pt idx="56">
                  <c:v>28.287172000000002</c:v>
                </c:pt>
                <c:pt idx="57">
                  <c:v>28.792121000000002</c:v>
                </c:pt>
                <c:pt idx="58">
                  <c:v>29.297070999999999</c:v>
                </c:pt>
                <c:pt idx="59">
                  <c:v>29.802019999999999</c:v>
                </c:pt>
                <c:pt idx="60">
                  <c:v>30.30697</c:v>
                </c:pt>
                <c:pt idx="61">
                  <c:v>30.811919</c:v>
                </c:pt>
                <c:pt idx="62">
                  <c:v>31.316869000000001</c:v>
                </c:pt>
                <c:pt idx="63">
                  <c:v>31.821818</c:v>
                </c:pt>
                <c:pt idx="64">
                  <c:v>32.326768000000001</c:v>
                </c:pt>
                <c:pt idx="65">
                  <c:v>32.831716999999998</c:v>
                </c:pt>
                <c:pt idx="66">
                  <c:v>33.336666999999998</c:v>
                </c:pt>
                <c:pt idx="67">
                  <c:v>33.841616000000002</c:v>
                </c:pt>
                <c:pt idx="68">
                  <c:v>34.346566000000003</c:v>
                </c:pt>
                <c:pt idx="69">
                  <c:v>34.851514999999999</c:v>
                </c:pt>
                <c:pt idx="70">
                  <c:v>35.356465</c:v>
                </c:pt>
                <c:pt idx="71">
                  <c:v>35.861414000000003</c:v>
                </c:pt>
                <c:pt idx="72">
                  <c:v>36.366363999999997</c:v>
                </c:pt>
                <c:pt idx="73">
                  <c:v>36.871313000000001</c:v>
                </c:pt>
                <c:pt idx="74">
                  <c:v>37.376263000000002</c:v>
                </c:pt>
                <c:pt idx="75">
                  <c:v>37.881211999999998</c:v>
                </c:pt>
                <c:pt idx="76">
                  <c:v>38.386161999999999</c:v>
                </c:pt>
                <c:pt idx="77">
                  <c:v>38.891111000000002</c:v>
                </c:pt>
                <c:pt idx="78">
                  <c:v>39.396061000000003</c:v>
                </c:pt>
                <c:pt idx="79">
                  <c:v>39.901009999999999</c:v>
                </c:pt>
                <c:pt idx="80">
                  <c:v>40.40596</c:v>
                </c:pt>
                <c:pt idx="81">
                  <c:v>40.910908999999997</c:v>
                </c:pt>
                <c:pt idx="82">
                  <c:v>41.415858999999998</c:v>
                </c:pt>
                <c:pt idx="83">
                  <c:v>41.920808000000001</c:v>
                </c:pt>
                <c:pt idx="84">
                  <c:v>42.425758000000002</c:v>
                </c:pt>
                <c:pt idx="85">
                  <c:v>42.930706999999998</c:v>
                </c:pt>
                <c:pt idx="86">
                  <c:v>43.435656999999999</c:v>
                </c:pt>
                <c:pt idx="87">
                  <c:v>43.940606000000002</c:v>
                </c:pt>
                <c:pt idx="88">
                  <c:v>44.445556000000003</c:v>
                </c:pt>
                <c:pt idx="89">
                  <c:v>44.950505</c:v>
                </c:pt>
                <c:pt idx="90">
                  <c:v>45.455455000000001</c:v>
                </c:pt>
                <c:pt idx="91">
                  <c:v>45.960403999999997</c:v>
                </c:pt>
                <c:pt idx="92">
                  <c:v>46.465353999999998</c:v>
                </c:pt>
                <c:pt idx="93">
                  <c:v>46.970303000000001</c:v>
                </c:pt>
                <c:pt idx="94">
                  <c:v>47.475253000000002</c:v>
                </c:pt>
                <c:pt idx="95">
                  <c:v>47.980201999999998</c:v>
                </c:pt>
                <c:pt idx="96">
                  <c:v>48.485151999999999</c:v>
                </c:pt>
                <c:pt idx="97">
                  <c:v>48.990101000000003</c:v>
                </c:pt>
                <c:pt idx="98">
                  <c:v>49.495050999999997</c:v>
                </c:pt>
                <c:pt idx="99">
                  <c:v>50</c:v>
                </c:pt>
              </c:numCache>
            </c:numRef>
          </c:cat>
          <c:val>
            <c:numRef>
              <c:f>'Pareto-4P'!$E$9:$E$108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4D-4F41-9B85-7F6EC3F2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Pareto-4P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'Pareto-4P'!$F$8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'Pareto-4P'!$D$9:$D$108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0.51494899999999999</c:v>
                </c:pt>
                <c:pt idx="2">
                  <c:v>1.0198990000000001</c:v>
                </c:pt>
                <c:pt idx="3">
                  <c:v>1.524848</c:v>
                </c:pt>
                <c:pt idx="4">
                  <c:v>2.029798</c:v>
                </c:pt>
                <c:pt idx="5">
                  <c:v>2.5347469999999999</c:v>
                </c:pt>
                <c:pt idx="6">
                  <c:v>3.0396969999999999</c:v>
                </c:pt>
                <c:pt idx="7">
                  <c:v>3.5446460000000002</c:v>
                </c:pt>
                <c:pt idx="8">
                  <c:v>4.0495960000000002</c:v>
                </c:pt>
                <c:pt idx="9">
                  <c:v>4.5545450000000001</c:v>
                </c:pt>
                <c:pt idx="10">
                  <c:v>5.0594950000000001</c:v>
                </c:pt>
                <c:pt idx="11">
                  <c:v>5.5644439999999999</c:v>
                </c:pt>
                <c:pt idx="12">
                  <c:v>6.069394</c:v>
                </c:pt>
                <c:pt idx="13">
                  <c:v>6.5743429999999998</c:v>
                </c:pt>
                <c:pt idx="14">
                  <c:v>7.0792929999999998</c:v>
                </c:pt>
                <c:pt idx="15">
                  <c:v>7.5842419999999997</c:v>
                </c:pt>
                <c:pt idx="16">
                  <c:v>8.0891920000000006</c:v>
                </c:pt>
                <c:pt idx="17">
                  <c:v>8.5941410000000005</c:v>
                </c:pt>
                <c:pt idx="18">
                  <c:v>9.0990909999999996</c:v>
                </c:pt>
                <c:pt idx="19">
                  <c:v>9.6040399999999995</c:v>
                </c:pt>
                <c:pt idx="20">
                  <c:v>10.10899</c:v>
                </c:pt>
                <c:pt idx="21">
                  <c:v>10.613939</c:v>
                </c:pt>
                <c:pt idx="22">
                  <c:v>11.118888999999999</c:v>
                </c:pt>
                <c:pt idx="23">
                  <c:v>11.623837999999999</c:v>
                </c:pt>
                <c:pt idx="24">
                  <c:v>12.128788</c:v>
                </c:pt>
                <c:pt idx="25">
                  <c:v>12.633737</c:v>
                </c:pt>
                <c:pt idx="26">
                  <c:v>13.138686999999999</c:v>
                </c:pt>
                <c:pt idx="27">
                  <c:v>13.643636000000001</c:v>
                </c:pt>
                <c:pt idx="28">
                  <c:v>14.148586</c:v>
                </c:pt>
                <c:pt idx="29">
                  <c:v>14.653535</c:v>
                </c:pt>
                <c:pt idx="30">
                  <c:v>15.158485000000001</c:v>
                </c:pt>
                <c:pt idx="31">
                  <c:v>15.663434000000001</c:v>
                </c:pt>
                <c:pt idx="32">
                  <c:v>16.168384</c:v>
                </c:pt>
                <c:pt idx="33">
                  <c:v>16.673333</c:v>
                </c:pt>
                <c:pt idx="34">
                  <c:v>17.178283</c:v>
                </c:pt>
                <c:pt idx="35">
                  <c:v>17.683232</c:v>
                </c:pt>
                <c:pt idx="36">
                  <c:v>18.188182000000001</c:v>
                </c:pt>
                <c:pt idx="37">
                  <c:v>18.693131000000001</c:v>
                </c:pt>
                <c:pt idx="38">
                  <c:v>19.198080999999998</c:v>
                </c:pt>
                <c:pt idx="39">
                  <c:v>19.703029999999998</c:v>
                </c:pt>
                <c:pt idx="40">
                  <c:v>20.207979999999999</c:v>
                </c:pt>
                <c:pt idx="41">
                  <c:v>20.712928999999999</c:v>
                </c:pt>
                <c:pt idx="42">
                  <c:v>21.217879</c:v>
                </c:pt>
                <c:pt idx="43">
                  <c:v>21.722828</c:v>
                </c:pt>
                <c:pt idx="44">
                  <c:v>22.227778000000001</c:v>
                </c:pt>
                <c:pt idx="45">
                  <c:v>22.732727000000001</c:v>
                </c:pt>
                <c:pt idx="46">
                  <c:v>23.237677000000001</c:v>
                </c:pt>
                <c:pt idx="47">
                  <c:v>23.742626000000001</c:v>
                </c:pt>
                <c:pt idx="48">
                  <c:v>24.247575999999999</c:v>
                </c:pt>
                <c:pt idx="49">
                  <c:v>24.752524999999999</c:v>
                </c:pt>
                <c:pt idx="50">
                  <c:v>25.257474999999999</c:v>
                </c:pt>
                <c:pt idx="51">
                  <c:v>25.762423999999999</c:v>
                </c:pt>
                <c:pt idx="52">
                  <c:v>26.267374</c:v>
                </c:pt>
                <c:pt idx="53">
                  <c:v>26.772323</c:v>
                </c:pt>
                <c:pt idx="54">
                  <c:v>27.277273000000001</c:v>
                </c:pt>
                <c:pt idx="55">
                  <c:v>27.782222000000001</c:v>
                </c:pt>
                <c:pt idx="56">
                  <c:v>28.287172000000002</c:v>
                </c:pt>
                <c:pt idx="57">
                  <c:v>28.792121000000002</c:v>
                </c:pt>
                <c:pt idx="58">
                  <c:v>29.297070999999999</c:v>
                </c:pt>
                <c:pt idx="59">
                  <c:v>29.802019999999999</c:v>
                </c:pt>
                <c:pt idx="60">
                  <c:v>30.30697</c:v>
                </c:pt>
                <c:pt idx="61">
                  <c:v>30.811919</c:v>
                </c:pt>
                <c:pt idx="62">
                  <c:v>31.316869000000001</c:v>
                </c:pt>
                <c:pt idx="63">
                  <c:v>31.821818</c:v>
                </c:pt>
                <c:pt idx="64">
                  <c:v>32.326768000000001</c:v>
                </c:pt>
                <c:pt idx="65">
                  <c:v>32.831716999999998</c:v>
                </c:pt>
                <c:pt idx="66">
                  <c:v>33.336666999999998</c:v>
                </c:pt>
                <c:pt idx="67">
                  <c:v>33.841616000000002</c:v>
                </c:pt>
                <c:pt idx="68">
                  <c:v>34.346566000000003</c:v>
                </c:pt>
                <c:pt idx="69">
                  <c:v>34.851514999999999</c:v>
                </c:pt>
                <c:pt idx="70">
                  <c:v>35.356465</c:v>
                </c:pt>
                <c:pt idx="71">
                  <c:v>35.861414000000003</c:v>
                </c:pt>
                <c:pt idx="72">
                  <c:v>36.366363999999997</c:v>
                </c:pt>
                <c:pt idx="73">
                  <c:v>36.871313000000001</c:v>
                </c:pt>
                <c:pt idx="74">
                  <c:v>37.376263000000002</c:v>
                </c:pt>
                <c:pt idx="75">
                  <c:v>37.881211999999998</c:v>
                </c:pt>
                <c:pt idx="76">
                  <c:v>38.386161999999999</c:v>
                </c:pt>
                <c:pt idx="77">
                  <c:v>38.891111000000002</c:v>
                </c:pt>
                <c:pt idx="78">
                  <c:v>39.396061000000003</c:v>
                </c:pt>
                <c:pt idx="79">
                  <c:v>39.901009999999999</c:v>
                </c:pt>
                <c:pt idx="80">
                  <c:v>40.40596</c:v>
                </c:pt>
                <c:pt idx="81">
                  <c:v>40.910908999999997</c:v>
                </c:pt>
                <c:pt idx="82">
                  <c:v>41.415858999999998</c:v>
                </c:pt>
                <c:pt idx="83">
                  <c:v>41.920808000000001</c:v>
                </c:pt>
                <c:pt idx="84">
                  <c:v>42.425758000000002</c:v>
                </c:pt>
                <c:pt idx="85">
                  <c:v>42.930706999999998</c:v>
                </c:pt>
                <c:pt idx="86">
                  <c:v>43.435656999999999</c:v>
                </c:pt>
                <c:pt idx="87">
                  <c:v>43.940606000000002</c:v>
                </c:pt>
                <c:pt idx="88">
                  <c:v>44.445556000000003</c:v>
                </c:pt>
                <c:pt idx="89">
                  <c:v>44.950505</c:v>
                </c:pt>
                <c:pt idx="90">
                  <c:v>45.455455000000001</c:v>
                </c:pt>
                <c:pt idx="91">
                  <c:v>45.960403999999997</c:v>
                </c:pt>
                <c:pt idx="92">
                  <c:v>46.465353999999998</c:v>
                </c:pt>
                <c:pt idx="93">
                  <c:v>46.970303000000001</c:v>
                </c:pt>
                <c:pt idx="94">
                  <c:v>47.475253000000002</c:v>
                </c:pt>
                <c:pt idx="95">
                  <c:v>47.980201999999998</c:v>
                </c:pt>
                <c:pt idx="96">
                  <c:v>48.485151999999999</c:v>
                </c:pt>
                <c:pt idx="97">
                  <c:v>48.990101000000003</c:v>
                </c:pt>
                <c:pt idx="98">
                  <c:v>49.495050999999997</c:v>
                </c:pt>
                <c:pt idx="99">
                  <c:v>50</c:v>
                </c:pt>
              </c:numCache>
            </c:numRef>
          </c:cat>
          <c:val>
            <c:numRef>
              <c:f>'Pareto-4P'!$F$9:$F$108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66-4201-AA49-4AA7E4E238CD}"/>
            </c:ext>
          </c:extLst>
        </c:ser>
        <c:ser>
          <c:idx val="1"/>
          <c:order val="1"/>
          <c:tx>
            <c:strRef>
              <c:f>'Pareto-4P'!$G$8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'Pareto-4P'!$D$9:$D$108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0.51494899999999999</c:v>
                </c:pt>
                <c:pt idx="2">
                  <c:v>1.0198990000000001</c:v>
                </c:pt>
                <c:pt idx="3">
                  <c:v>1.524848</c:v>
                </c:pt>
                <c:pt idx="4">
                  <c:v>2.029798</c:v>
                </c:pt>
                <c:pt idx="5">
                  <c:v>2.5347469999999999</c:v>
                </c:pt>
                <c:pt idx="6">
                  <c:v>3.0396969999999999</c:v>
                </c:pt>
                <c:pt idx="7">
                  <c:v>3.5446460000000002</c:v>
                </c:pt>
                <c:pt idx="8">
                  <c:v>4.0495960000000002</c:v>
                </c:pt>
                <c:pt idx="9">
                  <c:v>4.5545450000000001</c:v>
                </c:pt>
                <c:pt idx="10">
                  <c:v>5.0594950000000001</c:v>
                </c:pt>
                <c:pt idx="11">
                  <c:v>5.5644439999999999</c:v>
                </c:pt>
                <c:pt idx="12">
                  <c:v>6.069394</c:v>
                </c:pt>
                <c:pt idx="13">
                  <c:v>6.5743429999999998</c:v>
                </c:pt>
                <c:pt idx="14">
                  <c:v>7.0792929999999998</c:v>
                </c:pt>
                <c:pt idx="15">
                  <c:v>7.5842419999999997</c:v>
                </c:pt>
                <c:pt idx="16">
                  <c:v>8.0891920000000006</c:v>
                </c:pt>
                <c:pt idx="17">
                  <c:v>8.5941410000000005</c:v>
                </c:pt>
                <c:pt idx="18">
                  <c:v>9.0990909999999996</c:v>
                </c:pt>
                <c:pt idx="19">
                  <c:v>9.6040399999999995</c:v>
                </c:pt>
                <c:pt idx="20">
                  <c:v>10.10899</c:v>
                </c:pt>
                <c:pt idx="21">
                  <c:v>10.613939</c:v>
                </c:pt>
                <c:pt idx="22">
                  <c:v>11.118888999999999</c:v>
                </c:pt>
                <c:pt idx="23">
                  <c:v>11.623837999999999</c:v>
                </c:pt>
                <c:pt idx="24">
                  <c:v>12.128788</c:v>
                </c:pt>
                <c:pt idx="25">
                  <c:v>12.633737</c:v>
                </c:pt>
                <c:pt idx="26">
                  <c:v>13.138686999999999</c:v>
                </c:pt>
                <c:pt idx="27">
                  <c:v>13.643636000000001</c:v>
                </c:pt>
                <c:pt idx="28">
                  <c:v>14.148586</c:v>
                </c:pt>
                <c:pt idx="29">
                  <c:v>14.653535</c:v>
                </c:pt>
                <c:pt idx="30">
                  <c:v>15.158485000000001</c:v>
                </c:pt>
                <c:pt idx="31">
                  <c:v>15.663434000000001</c:v>
                </c:pt>
                <c:pt idx="32">
                  <c:v>16.168384</c:v>
                </c:pt>
                <c:pt idx="33">
                  <c:v>16.673333</c:v>
                </c:pt>
                <c:pt idx="34">
                  <c:v>17.178283</c:v>
                </c:pt>
                <c:pt idx="35">
                  <c:v>17.683232</c:v>
                </c:pt>
                <c:pt idx="36">
                  <c:v>18.188182000000001</c:v>
                </c:pt>
                <c:pt idx="37">
                  <c:v>18.693131000000001</c:v>
                </c:pt>
                <c:pt idx="38">
                  <c:v>19.198080999999998</c:v>
                </c:pt>
                <c:pt idx="39">
                  <c:v>19.703029999999998</c:v>
                </c:pt>
                <c:pt idx="40">
                  <c:v>20.207979999999999</c:v>
                </c:pt>
                <c:pt idx="41">
                  <c:v>20.712928999999999</c:v>
                </c:pt>
                <c:pt idx="42">
                  <c:v>21.217879</c:v>
                </c:pt>
                <c:pt idx="43">
                  <c:v>21.722828</c:v>
                </c:pt>
                <c:pt idx="44">
                  <c:v>22.227778000000001</c:v>
                </c:pt>
                <c:pt idx="45">
                  <c:v>22.732727000000001</c:v>
                </c:pt>
                <c:pt idx="46">
                  <c:v>23.237677000000001</c:v>
                </c:pt>
                <c:pt idx="47">
                  <c:v>23.742626000000001</c:v>
                </c:pt>
                <c:pt idx="48">
                  <c:v>24.247575999999999</c:v>
                </c:pt>
                <c:pt idx="49">
                  <c:v>24.752524999999999</c:v>
                </c:pt>
                <c:pt idx="50">
                  <c:v>25.257474999999999</c:v>
                </c:pt>
                <c:pt idx="51">
                  <c:v>25.762423999999999</c:v>
                </c:pt>
                <c:pt idx="52">
                  <c:v>26.267374</c:v>
                </c:pt>
                <c:pt idx="53">
                  <c:v>26.772323</c:v>
                </c:pt>
                <c:pt idx="54">
                  <c:v>27.277273000000001</c:v>
                </c:pt>
                <c:pt idx="55">
                  <c:v>27.782222000000001</c:v>
                </c:pt>
                <c:pt idx="56">
                  <c:v>28.287172000000002</c:v>
                </c:pt>
                <c:pt idx="57">
                  <c:v>28.792121000000002</c:v>
                </c:pt>
                <c:pt idx="58">
                  <c:v>29.297070999999999</c:v>
                </c:pt>
                <c:pt idx="59">
                  <c:v>29.802019999999999</c:v>
                </c:pt>
                <c:pt idx="60">
                  <c:v>30.30697</c:v>
                </c:pt>
                <c:pt idx="61">
                  <c:v>30.811919</c:v>
                </c:pt>
                <c:pt idx="62">
                  <c:v>31.316869000000001</c:v>
                </c:pt>
                <c:pt idx="63">
                  <c:v>31.821818</c:v>
                </c:pt>
                <c:pt idx="64">
                  <c:v>32.326768000000001</c:v>
                </c:pt>
                <c:pt idx="65">
                  <c:v>32.831716999999998</c:v>
                </c:pt>
                <c:pt idx="66">
                  <c:v>33.336666999999998</c:v>
                </c:pt>
                <c:pt idx="67">
                  <c:v>33.841616000000002</c:v>
                </c:pt>
                <c:pt idx="68">
                  <c:v>34.346566000000003</c:v>
                </c:pt>
                <c:pt idx="69">
                  <c:v>34.851514999999999</c:v>
                </c:pt>
                <c:pt idx="70">
                  <c:v>35.356465</c:v>
                </c:pt>
                <c:pt idx="71">
                  <c:v>35.861414000000003</c:v>
                </c:pt>
                <c:pt idx="72">
                  <c:v>36.366363999999997</c:v>
                </c:pt>
                <c:pt idx="73">
                  <c:v>36.871313000000001</c:v>
                </c:pt>
                <c:pt idx="74">
                  <c:v>37.376263000000002</c:v>
                </c:pt>
                <c:pt idx="75">
                  <c:v>37.881211999999998</c:v>
                </c:pt>
                <c:pt idx="76">
                  <c:v>38.386161999999999</c:v>
                </c:pt>
                <c:pt idx="77">
                  <c:v>38.891111000000002</c:v>
                </c:pt>
                <c:pt idx="78">
                  <c:v>39.396061000000003</c:v>
                </c:pt>
                <c:pt idx="79">
                  <c:v>39.901009999999999</c:v>
                </c:pt>
                <c:pt idx="80">
                  <c:v>40.40596</c:v>
                </c:pt>
                <c:pt idx="81">
                  <c:v>40.910908999999997</c:v>
                </c:pt>
                <c:pt idx="82">
                  <c:v>41.415858999999998</c:v>
                </c:pt>
                <c:pt idx="83">
                  <c:v>41.920808000000001</c:v>
                </c:pt>
                <c:pt idx="84">
                  <c:v>42.425758000000002</c:v>
                </c:pt>
                <c:pt idx="85">
                  <c:v>42.930706999999998</c:v>
                </c:pt>
                <c:pt idx="86">
                  <c:v>43.435656999999999</c:v>
                </c:pt>
                <c:pt idx="87">
                  <c:v>43.940606000000002</c:v>
                </c:pt>
                <c:pt idx="88">
                  <c:v>44.445556000000003</c:v>
                </c:pt>
                <c:pt idx="89">
                  <c:v>44.950505</c:v>
                </c:pt>
                <c:pt idx="90">
                  <c:v>45.455455000000001</c:v>
                </c:pt>
                <c:pt idx="91">
                  <c:v>45.960403999999997</c:v>
                </c:pt>
                <c:pt idx="92">
                  <c:v>46.465353999999998</c:v>
                </c:pt>
                <c:pt idx="93">
                  <c:v>46.970303000000001</c:v>
                </c:pt>
                <c:pt idx="94">
                  <c:v>47.475253000000002</c:v>
                </c:pt>
                <c:pt idx="95">
                  <c:v>47.980201999999998</c:v>
                </c:pt>
                <c:pt idx="96">
                  <c:v>48.485151999999999</c:v>
                </c:pt>
                <c:pt idx="97">
                  <c:v>48.990101000000003</c:v>
                </c:pt>
                <c:pt idx="98">
                  <c:v>49.495050999999997</c:v>
                </c:pt>
                <c:pt idx="99">
                  <c:v>50</c:v>
                </c:pt>
              </c:numCache>
            </c:numRef>
          </c:cat>
          <c:val>
            <c:numRef>
              <c:f>'Pareto-4P'!$G$9:$G$108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66-4201-AA49-4AA7E4E23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Pareto-5P - PDF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'Pareto-5P'!$E$8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'Pareto-5P'!$D$9:$D$108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0.81798000000000004</c:v>
                </c:pt>
                <c:pt idx="2">
                  <c:v>1.6259600000000001</c:v>
                </c:pt>
                <c:pt idx="3">
                  <c:v>2.4339390000000001</c:v>
                </c:pt>
                <c:pt idx="4">
                  <c:v>3.2419190000000002</c:v>
                </c:pt>
                <c:pt idx="5">
                  <c:v>4.0498989999999999</c:v>
                </c:pt>
                <c:pt idx="6">
                  <c:v>4.8578789999999996</c:v>
                </c:pt>
                <c:pt idx="7">
                  <c:v>5.6658590000000002</c:v>
                </c:pt>
                <c:pt idx="8">
                  <c:v>6.4738379999999998</c:v>
                </c:pt>
                <c:pt idx="9">
                  <c:v>7.2818180000000003</c:v>
                </c:pt>
                <c:pt idx="10">
                  <c:v>8.089798</c:v>
                </c:pt>
                <c:pt idx="11">
                  <c:v>8.8977780000000006</c:v>
                </c:pt>
                <c:pt idx="12">
                  <c:v>9.7057579999999994</c:v>
                </c:pt>
                <c:pt idx="13">
                  <c:v>10.513737000000001</c:v>
                </c:pt>
                <c:pt idx="14">
                  <c:v>11.321717</c:v>
                </c:pt>
                <c:pt idx="15">
                  <c:v>12.129697</c:v>
                </c:pt>
                <c:pt idx="16">
                  <c:v>12.937677000000001</c:v>
                </c:pt>
                <c:pt idx="17">
                  <c:v>13.745657</c:v>
                </c:pt>
                <c:pt idx="18">
                  <c:v>14.553635999999999</c:v>
                </c:pt>
                <c:pt idx="19">
                  <c:v>15.361616</c:v>
                </c:pt>
                <c:pt idx="20">
                  <c:v>16.169595999999999</c:v>
                </c:pt>
                <c:pt idx="21">
                  <c:v>16.977575999999999</c:v>
                </c:pt>
                <c:pt idx="22">
                  <c:v>17.785556</c:v>
                </c:pt>
                <c:pt idx="23">
                  <c:v>18.593534999999999</c:v>
                </c:pt>
                <c:pt idx="24">
                  <c:v>19.401515</c:v>
                </c:pt>
                <c:pt idx="25">
                  <c:v>20.209495</c:v>
                </c:pt>
                <c:pt idx="26">
                  <c:v>21.017475000000001</c:v>
                </c:pt>
                <c:pt idx="27">
                  <c:v>21.825455000000002</c:v>
                </c:pt>
                <c:pt idx="28">
                  <c:v>22.633434000000001</c:v>
                </c:pt>
                <c:pt idx="29">
                  <c:v>23.441414000000002</c:v>
                </c:pt>
                <c:pt idx="30">
                  <c:v>24.249393999999999</c:v>
                </c:pt>
                <c:pt idx="31">
                  <c:v>25.057373999999999</c:v>
                </c:pt>
                <c:pt idx="32">
                  <c:v>25.865354</c:v>
                </c:pt>
                <c:pt idx="33">
                  <c:v>26.673333</c:v>
                </c:pt>
                <c:pt idx="34">
                  <c:v>27.481313</c:v>
                </c:pt>
                <c:pt idx="35">
                  <c:v>28.289293000000001</c:v>
                </c:pt>
                <c:pt idx="36">
                  <c:v>29.097273000000001</c:v>
                </c:pt>
                <c:pt idx="37">
                  <c:v>29.905252999999998</c:v>
                </c:pt>
                <c:pt idx="38">
                  <c:v>30.713232000000001</c:v>
                </c:pt>
                <c:pt idx="39">
                  <c:v>31.521211999999998</c:v>
                </c:pt>
                <c:pt idx="40">
                  <c:v>32.329191999999999</c:v>
                </c:pt>
                <c:pt idx="41">
                  <c:v>33.137172</c:v>
                </c:pt>
                <c:pt idx="42">
                  <c:v>33.945152</c:v>
                </c:pt>
                <c:pt idx="43">
                  <c:v>34.753131000000003</c:v>
                </c:pt>
                <c:pt idx="44">
                  <c:v>35.561110999999997</c:v>
                </c:pt>
                <c:pt idx="45">
                  <c:v>36.369090999999997</c:v>
                </c:pt>
                <c:pt idx="46">
                  <c:v>37.177070999999998</c:v>
                </c:pt>
                <c:pt idx="47">
                  <c:v>37.985050999999999</c:v>
                </c:pt>
                <c:pt idx="48">
                  <c:v>38.793030000000002</c:v>
                </c:pt>
                <c:pt idx="49">
                  <c:v>39.601010000000002</c:v>
                </c:pt>
                <c:pt idx="50">
                  <c:v>40.408990000000003</c:v>
                </c:pt>
                <c:pt idx="51">
                  <c:v>41.216970000000003</c:v>
                </c:pt>
                <c:pt idx="52">
                  <c:v>42.024948999999999</c:v>
                </c:pt>
                <c:pt idx="53">
                  <c:v>42.832929</c:v>
                </c:pt>
                <c:pt idx="54">
                  <c:v>43.640909000000001</c:v>
                </c:pt>
                <c:pt idx="55">
                  <c:v>44.448889000000001</c:v>
                </c:pt>
                <c:pt idx="56">
                  <c:v>45.256869000000002</c:v>
                </c:pt>
                <c:pt idx="57">
                  <c:v>46.064847999999998</c:v>
                </c:pt>
                <c:pt idx="58">
                  <c:v>46.872827999999998</c:v>
                </c:pt>
                <c:pt idx="59">
                  <c:v>47.680807999999999</c:v>
                </c:pt>
                <c:pt idx="60">
                  <c:v>48.488788</c:v>
                </c:pt>
                <c:pt idx="61">
                  <c:v>49.296768</c:v>
                </c:pt>
                <c:pt idx="62">
                  <c:v>50.104747000000003</c:v>
                </c:pt>
                <c:pt idx="63">
                  <c:v>50.912726999999997</c:v>
                </c:pt>
                <c:pt idx="64">
                  <c:v>51.720706999999997</c:v>
                </c:pt>
                <c:pt idx="65">
                  <c:v>52.528686999999998</c:v>
                </c:pt>
                <c:pt idx="66">
                  <c:v>53.336666999999998</c:v>
                </c:pt>
                <c:pt idx="67">
                  <c:v>54.144646000000002</c:v>
                </c:pt>
                <c:pt idx="68">
                  <c:v>54.952626000000002</c:v>
                </c:pt>
                <c:pt idx="69">
                  <c:v>55.760606000000003</c:v>
                </c:pt>
                <c:pt idx="70">
                  <c:v>56.568586000000003</c:v>
                </c:pt>
                <c:pt idx="71">
                  <c:v>57.376565999999997</c:v>
                </c:pt>
                <c:pt idx="72">
                  <c:v>58.184545</c:v>
                </c:pt>
                <c:pt idx="73">
                  <c:v>58.992525000000001</c:v>
                </c:pt>
                <c:pt idx="74">
                  <c:v>59.800505000000001</c:v>
                </c:pt>
                <c:pt idx="75">
                  <c:v>60.608485000000002</c:v>
                </c:pt>
                <c:pt idx="76">
                  <c:v>61.416465000000002</c:v>
                </c:pt>
                <c:pt idx="77">
                  <c:v>62.224443999999998</c:v>
                </c:pt>
                <c:pt idx="78">
                  <c:v>63.032423999999999</c:v>
                </c:pt>
                <c:pt idx="79">
                  <c:v>63.840403999999999</c:v>
                </c:pt>
                <c:pt idx="80">
                  <c:v>64.648383999999993</c:v>
                </c:pt>
                <c:pt idx="81">
                  <c:v>65.456363999999994</c:v>
                </c:pt>
                <c:pt idx="82">
                  <c:v>66.264342999999997</c:v>
                </c:pt>
                <c:pt idx="83">
                  <c:v>67.072322999999997</c:v>
                </c:pt>
                <c:pt idx="84">
                  <c:v>67.880302999999998</c:v>
                </c:pt>
                <c:pt idx="85">
                  <c:v>68.688282999999998</c:v>
                </c:pt>
                <c:pt idx="86">
                  <c:v>69.496262999999999</c:v>
                </c:pt>
                <c:pt idx="87">
                  <c:v>70.304242000000002</c:v>
                </c:pt>
                <c:pt idx="88">
                  <c:v>71.112222000000003</c:v>
                </c:pt>
                <c:pt idx="89">
                  <c:v>71.920202000000003</c:v>
                </c:pt>
                <c:pt idx="90">
                  <c:v>72.728182000000004</c:v>
                </c:pt>
                <c:pt idx="91">
                  <c:v>73.536162000000004</c:v>
                </c:pt>
                <c:pt idx="92">
                  <c:v>74.344140999999993</c:v>
                </c:pt>
                <c:pt idx="93">
                  <c:v>75.152120999999994</c:v>
                </c:pt>
                <c:pt idx="94">
                  <c:v>75.960100999999995</c:v>
                </c:pt>
                <c:pt idx="95">
                  <c:v>76.768080999999995</c:v>
                </c:pt>
                <c:pt idx="96">
                  <c:v>77.576060999999996</c:v>
                </c:pt>
                <c:pt idx="97">
                  <c:v>78.384039999999999</c:v>
                </c:pt>
                <c:pt idx="98">
                  <c:v>79.192019999999999</c:v>
                </c:pt>
                <c:pt idx="99">
                  <c:v>80</c:v>
                </c:pt>
              </c:numCache>
            </c:numRef>
          </c:cat>
          <c:val>
            <c:numRef>
              <c:f>'Pareto-5P'!$E$9:$E$108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6C-4452-857A-6341CA089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Pareto-5P - CDF &amp; SF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'Pareto-5P'!$F$8</c:f>
              <c:strCache>
                <c:ptCount val="1"/>
                <c:pt idx="0">
                  <c:v>CDF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'Pareto-5P'!$D$9:$D$108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0.81798000000000004</c:v>
                </c:pt>
                <c:pt idx="2">
                  <c:v>1.6259600000000001</c:v>
                </c:pt>
                <c:pt idx="3">
                  <c:v>2.4339390000000001</c:v>
                </c:pt>
                <c:pt idx="4">
                  <c:v>3.2419190000000002</c:v>
                </c:pt>
                <c:pt idx="5">
                  <c:v>4.0498989999999999</c:v>
                </c:pt>
                <c:pt idx="6">
                  <c:v>4.8578789999999996</c:v>
                </c:pt>
                <c:pt idx="7">
                  <c:v>5.6658590000000002</c:v>
                </c:pt>
                <c:pt idx="8">
                  <c:v>6.4738379999999998</c:v>
                </c:pt>
                <c:pt idx="9">
                  <c:v>7.2818180000000003</c:v>
                </c:pt>
                <c:pt idx="10">
                  <c:v>8.089798</c:v>
                </c:pt>
                <c:pt idx="11">
                  <c:v>8.8977780000000006</c:v>
                </c:pt>
                <c:pt idx="12">
                  <c:v>9.7057579999999994</c:v>
                </c:pt>
                <c:pt idx="13">
                  <c:v>10.513737000000001</c:v>
                </c:pt>
                <c:pt idx="14">
                  <c:v>11.321717</c:v>
                </c:pt>
                <c:pt idx="15">
                  <c:v>12.129697</c:v>
                </c:pt>
                <c:pt idx="16">
                  <c:v>12.937677000000001</c:v>
                </c:pt>
                <c:pt idx="17">
                  <c:v>13.745657</c:v>
                </c:pt>
                <c:pt idx="18">
                  <c:v>14.553635999999999</c:v>
                </c:pt>
                <c:pt idx="19">
                  <c:v>15.361616</c:v>
                </c:pt>
                <c:pt idx="20">
                  <c:v>16.169595999999999</c:v>
                </c:pt>
                <c:pt idx="21">
                  <c:v>16.977575999999999</c:v>
                </c:pt>
                <c:pt idx="22">
                  <c:v>17.785556</c:v>
                </c:pt>
                <c:pt idx="23">
                  <c:v>18.593534999999999</c:v>
                </c:pt>
                <c:pt idx="24">
                  <c:v>19.401515</c:v>
                </c:pt>
                <c:pt idx="25">
                  <c:v>20.209495</c:v>
                </c:pt>
                <c:pt idx="26">
                  <c:v>21.017475000000001</c:v>
                </c:pt>
                <c:pt idx="27">
                  <c:v>21.825455000000002</c:v>
                </c:pt>
                <c:pt idx="28">
                  <c:v>22.633434000000001</c:v>
                </c:pt>
                <c:pt idx="29">
                  <c:v>23.441414000000002</c:v>
                </c:pt>
                <c:pt idx="30">
                  <c:v>24.249393999999999</c:v>
                </c:pt>
                <c:pt idx="31">
                  <c:v>25.057373999999999</c:v>
                </c:pt>
                <c:pt idx="32">
                  <c:v>25.865354</c:v>
                </c:pt>
                <c:pt idx="33">
                  <c:v>26.673333</c:v>
                </c:pt>
                <c:pt idx="34">
                  <c:v>27.481313</c:v>
                </c:pt>
                <c:pt idx="35">
                  <c:v>28.289293000000001</c:v>
                </c:pt>
                <c:pt idx="36">
                  <c:v>29.097273000000001</c:v>
                </c:pt>
                <c:pt idx="37">
                  <c:v>29.905252999999998</c:v>
                </c:pt>
                <c:pt idx="38">
                  <c:v>30.713232000000001</c:v>
                </c:pt>
                <c:pt idx="39">
                  <c:v>31.521211999999998</c:v>
                </c:pt>
                <c:pt idx="40">
                  <c:v>32.329191999999999</c:v>
                </c:pt>
                <c:pt idx="41">
                  <c:v>33.137172</c:v>
                </c:pt>
                <c:pt idx="42">
                  <c:v>33.945152</c:v>
                </c:pt>
                <c:pt idx="43">
                  <c:v>34.753131000000003</c:v>
                </c:pt>
                <c:pt idx="44">
                  <c:v>35.561110999999997</c:v>
                </c:pt>
                <c:pt idx="45">
                  <c:v>36.369090999999997</c:v>
                </c:pt>
                <c:pt idx="46">
                  <c:v>37.177070999999998</c:v>
                </c:pt>
                <c:pt idx="47">
                  <c:v>37.985050999999999</c:v>
                </c:pt>
                <c:pt idx="48">
                  <c:v>38.793030000000002</c:v>
                </c:pt>
                <c:pt idx="49">
                  <c:v>39.601010000000002</c:v>
                </c:pt>
                <c:pt idx="50">
                  <c:v>40.408990000000003</c:v>
                </c:pt>
                <c:pt idx="51">
                  <c:v>41.216970000000003</c:v>
                </c:pt>
                <c:pt idx="52">
                  <c:v>42.024948999999999</c:v>
                </c:pt>
                <c:pt idx="53">
                  <c:v>42.832929</c:v>
                </c:pt>
                <c:pt idx="54">
                  <c:v>43.640909000000001</c:v>
                </c:pt>
                <c:pt idx="55">
                  <c:v>44.448889000000001</c:v>
                </c:pt>
                <c:pt idx="56">
                  <c:v>45.256869000000002</c:v>
                </c:pt>
                <c:pt idx="57">
                  <c:v>46.064847999999998</c:v>
                </c:pt>
                <c:pt idx="58">
                  <c:v>46.872827999999998</c:v>
                </c:pt>
                <c:pt idx="59">
                  <c:v>47.680807999999999</c:v>
                </c:pt>
                <c:pt idx="60">
                  <c:v>48.488788</c:v>
                </c:pt>
                <c:pt idx="61">
                  <c:v>49.296768</c:v>
                </c:pt>
                <c:pt idx="62">
                  <c:v>50.104747000000003</c:v>
                </c:pt>
                <c:pt idx="63">
                  <c:v>50.912726999999997</c:v>
                </c:pt>
                <c:pt idx="64">
                  <c:v>51.720706999999997</c:v>
                </c:pt>
                <c:pt idx="65">
                  <c:v>52.528686999999998</c:v>
                </c:pt>
                <c:pt idx="66">
                  <c:v>53.336666999999998</c:v>
                </c:pt>
                <c:pt idx="67">
                  <c:v>54.144646000000002</c:v>
                </c:pt>
                <c:pt idx="68">
                  <c:v>54.952626000000002</c:v>
                </c:pt>
                <c:pt idx="69">
                  <c:v>55.760606000000003</c:v>
                </c:pt>
                <c:pt idx="70">
                  <c:v>56.568586000000003</c:v>
                </c:pt>
                <c:pt idx="71">
                  <c:v>57.376565999999997</c:v>
                </c:pt>
                <c:pt idx="72">
                  <c:v>58.184545</c:v>
                </c:pt>
                <c:pt idx="73">
                  <c:v>58.992525000000001</c:v>
                </c:pt>
                <c:pt idx="74">
                  <c:v>59.800505000000001</c:v>
                </c:pt>
                <c:pt idx="75">
                  <c:v>60.608485000000002</c:v>
                </c:pt>
                <c:pt idx="76">
                  <c:v>61.416465000000002</c:v>
                </c:pt>
                <c:pt idx="77">
                  <c:v>62.224443999999998</c:v>
                </c:pt>
                <c:pt idx="78">
                  <c:v>63.032423999999999</c:v>
                </c:pt>
                <c:pt idx="79">
                  <c:v>63.840403999999999</c:v>
                </c:pt>
                <c:pt idx="80">
                  <c:v>64.648383999999993</c:v>
                </c:pt>
                <c:pt idx="81">
                  <c:v>65.456363999999994</c:v>
                </c:pt>
                <c:pt idx="82">
                  <c:v>66.264342999999997</c:v>
                </c:pt>
                <c:pt idx="83">
                  <c:v>67.072322999999997</c:v>
                </c:pt>
                <c:pt idx="84">
                  <c:v>67.880302999999998</c:v>
                </c:pt>
                <c:pt idx="85">
                  <c:v>68.688282999999998</c:v>
                </c:pt>
                <c:pt idx="86">
                  <c:v>69.496262999999999</c:v>
                </c:pt>
                <c:pt idx="87">
                  <c:v>70.304242000000002</c:v>
                </c:pt>
                <c:pt idx="88">
                  <c:v>71.112222000000003</c:v>
                </c:pt>
                <c:pt idx="89">
                  <c:v>71.920202000000003</c:v>
                </c:pt>
                <c:pt idx="90">
                  <c:v>72.728182000000004</c:v>
                </c:pt>
                <c:pt idx="91">
                  <c:v>73.536162000000004</c:v>
                </c:pt>
                <c:pt idx="92">
                  <c:v>74.344140999999993</c:v>
                </c:pt>
                <c:pt idx="93">
                  <c:v>75.152120999999994</c:v>
                </c:pt>
                <c:pt idx="94">
                  <c:v>75.960100999999995</c:v>
                </c:pt>
                <c:pt idx="95">
                  <c:v>76.768080999999995</c:v>
                </c:pt>
                <c:pt idx="96">
                  <c:v>77.576060999999996</c:v>
                </c:pt>
                <c:pt idx="97">
                  <c:v>78.384039999999999</c:v>
                </c:pt>
                <c:pt idx="98">
                  <c:v>79.192019999999999</c:v>
                </c:pt>
                <c:pt idx="99">
                  <c:v>80</c:v>
                </c:pt>
              </c:numCache>
            </c:numRef>
          </c:cat>
          <c:val>
            <c:numRef>
              <c:f>'Pareto-5P'!$F$9:$F$108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09-4B2C-8049-81C02ABF656E}"/>
            </c:ext>
          </c:extLst>
        </c:ser>
        <c:ser>
          <c:idx val="1"/>
          <c:order val="1"/>
          <c:tx>
            <c:strRef>
              <c:f>'Pareto-5P'!$G$8</c:f>
              <c:strCache>
                <c:ptCount val="1"/>
                <c:pt idx="0">
                  <c:v>SF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'Pareto-5P'!$D$9:$D$108</c:f>
              <c:numCache>
                <c:formatCode>General</c:formatCode>
                <c:ptCount val="100"/>
                <c:pt idx="0">
                  <c:v>0.01</c:v>
                </c:pt>
                <c:pt idx="1">
                  <c:v>0.81798000000000004</c:v>
                </c:pt>
                <c:pt idx="2">
                  <c:v>1.6259600000000001</c:v>
                </c:pt>
                <c:pt idx="3">
                  <c:v>2.4339390000000001</c:v>
                </c:pt>
                <c:pt idx="4">
                  <c:v>3.2419190000000002</c:v>
                </c:pt>
                <c:pt idx="5">
                  <c:v>4.0498989999999999</c:v>
                </c:pt>
                <c:pt idx="6">
                  <c:v>4.8578789999999996</c:v>
                </c:pt>
                <c:pt idx="7">
                  <c:v>5.6658590000000002</c:v>
                </c:pt>
                <c:pt idx="8">
                  <c:v>6.4738379999999998</c:v>
                </c:pt>
                <c:pt idx="9">
                  <c:v>7.2818180000000003</c:v>
                </c:pt>
                <c:pt idx="10">
                  <c:v>8.089798</c:v>
                </c:pt>
                <c:pt idx="11">
                  <c:v>8.8977780000000006</c:v>
                </c:pt>
                <c:pt idx="12">
                  <c:v>9.7057579999999994</c:v>
                </c:pt>
                <c:pt idx="13">
                  <c:v>10.513737000000001</c:v>
                </c:pt>
                <c:pt idx="14">
                  <c:v>11.321717</c:v>
                </c:pt>
                <c:pt idx="15">
                  <c:v>12.129697</c:v>
                </c:pt>
                <c:pt idx="16">
                  <c:v>12.937677000000001</c:v>
                </c:pt>
                <c:pt idx="17">
                  <c:v>13.745657</c:v>
                </c:pt>
                <c:pt idx="18">
                  <c:v>14.553635999999999</c:v>
                </c:pt>
                <c:pt idx="19">
                  <c:v>15.361616</c:v>
                </c:pt>
                <c:pt idx="20">
                  <c:v>16.169595999999999</c:v>
                </c:pt>
                <c:pt idx="21">
                  <c:v>16.977575999999999</c:v>
                </c:pt>
                <c:pt idx="22">
                  <c:v>17.785556</c:v>
                </c:pt>
                <c:pt idx="23">
                  <c:v>18.593534999999999</c:v>
                </c:pt>
                <c:pt idx="24">
                  <c:v>19.401515</c:v>
                </c:pt>
                <c:pt idx="25">
                  <c:v>20.209495</c:v>
                </c:pt>
                <c:pt idx="26">
                  <c:v>21.017475000000001</c:v>
                </c:pt>
                <c:pt idx="27">
                  <c:v>21.825455000000002</c:v>
                </c:pt>
                <c:pt idx="28">
                  <c:v>22.633434000000001</c:v>
                </c:pt>
                <c:pt idx="29">
                  <c:v>23.441414000000002</c:v>
                </c:pt>
                <c:pt idx="30">
                  <c:v>24.249393999999999</c:v>
                </c:pt>
                <c:pt idx="31">
                  <c:v>25.057373999999999</c:v>
                </c:pt>
                <c:pt idx="32">
                  <c:v>25.865354</c:v>
                </c:pt>
                <c:pt idx="33">
                  <c:v>26.673333</c:v>
                </c:pt>
                <c:pt idx="34">
                  <c:v>27.481313</c:v>
                </c:pt>
                <c:pt idx="35">
                  <c:v>28.289293000000001</c:v>
                </c:pt>
                <c:pt idx="36">
                  <c:v>29.097273000000001</c:v>
                </c:pt>
                <c:pt idx="37">
                  <c:v>29.905252999999998</c:v>
                </c:pt>
                <c:pt idx="38">
                  <c:v>30.713232000000001</c:v>
                </c:pt>
                <c:pt idx="39">
                  <c:v>31.521211999999998</c:v>
                </c:pt>
                <c:pt idx="40">
                  <c:v>32.329191999999999</c:v>
                </c:pt>
                <c:pt idx="41">
                  <c:v>33.137172</c:v>
                </c:pt>
                <c:pt idx="42">
                  <c:v>33.945152</c:v>
                </c:pt>
                <c:pt idx="43">
                  <c:v>34.753131000000003</c:v>
                </c:pt>
                <c:pt idx="44">
                  <c:v>35.561110999999997</c:v>
                </c:pt>
                <c:pt idx="45">
                  <c:v>36.369090999999997</c:v>
                </c:pt>
                <c:pt idx="46">
                  <c:v>37.177070999999998</c:v>
                </c:pt>
                <c:pt idx="47">
                  <c:v>37.985050999999999</c:v>
                </c:pt>
                <c:pt idx="48">
                  <c:v>38.793030000000002</c:v>
                </c:pt>
                <c:pt idx="49">
                  <c:v>39.601010000000002</c:v>
                </c:pt>
                <c:pt idx="50">
                  <c:v>40.408990000000003</c:v>
                </c:pt>
                <c:pt idx="51">
                  <c:v>41.216970000000003</c:v>
                </c:pt>
                <c:pt idx="52">
                  <c:v>42.024948999999999</c:v>
                </c:pt>
                <c:pt idx="53">
                  <c:v>42.832929</c:v>
                </c:pt>
                <c:pt idx="54">
                  <c:v>43.640909000000001</c:v>
                </c:pt>
                <c:pt idx="55">
                  <c:v>44.448889000000001</c:v>
                </c:pt>
                <c:pt idx="56">
                  <c:v>45.256869000000002</c:v>
                </c:pt>
                <c:pt idx="57">
                  <c:v>46.064847999999998</c:v>
                </c:pt>
                <c:pt idx="58">
                  <c:v>46.872827999999998</c:v>
                </c:pt>
                <c:pt idx="59">
                  <c:v>47.680807999999999</c:v>
                </c:pt>
                <c:pt idx="60">
                  <c:v>48.488788</c:v>
                </c:pt>
                <c:pt idx="61">
                  <c:v>49.296768</c:v>
                </c:pt>
                <c:pt idx="62">
                  <c:v>50.104747000000003</c:v>
                </c:pt>
                <c:pt idx="63">
                  <c:v>50.912726999999997</c:v>
                </c:pt>
                <c:pt idx="64">
                  <c:v>51.720706999999997</c:v>
                </c:pt>
                <c:pt idx="65">
                  <c:v>52.528686999999998</c:v>
                </c:pt>
                <c:pt idx="66">
                  <c:v>53.336666999999998</c:v>
                </c:pt>
                <c:pt idx="67">
                  <c:v>54.144646000000002</c:v>
                </c:pt>
                <c:pt idx="68">
                  <c:v>54.952626000000002</c:v>
                </c:pt>
                <c:pt idx="69">
                  <c:v>55.760606000000003</c:v>
                </c:pt>
                <c:pt idx="70">
                  <c:v>56.568586000000003</c:v>
                </c:pt>
                <c:pt idx="71">
                  <c:v>57.376565999999997</c:v>
                </c:pt>
                <c:pt idx="72">
                  <c:v>58.184545</c:v>
                </c:pt>
                <c:pt idx="73">
                  <c:v>58.992525000000001</c:v>
                </c:pt>
                <c:pt idx="74">
                  <c:v>59.800505000000001</c:v>
                </c:pt>
                <c:pt idx="75">
                  <c:v>60.608485000000002</c:v>
                </c:pt>
                <c:pt idx="76">
                  <c:v>61.416465000000002</c:v>
                </c:pt>
                <c:pt idx="77">
                  <c:v>62.224443999999998</c:v>
                </c:pt>
                <c:pt idx="78">
                  <c:v>63.032423999999999</c:v>
                </c:pt>
                <c:pt idx="79">
                  <c:v>63.840403999999999</c:v>
                </c:pt>
                <c:pt idx="80">
                  <c:v>64.648383999999993</c:v>
                </c:pt>
                <c:pt idx="81">
                  <c:v>65.456363999999994</c:v>
                </c:pt>
                <c:pt idx="82">
                  <c:v>66.264342999999997</c:v>
                </c:pt>
                <c:pt idx="83">
                  <c:v>67.072322999999997</c:v>
                </c:pt>
                <c:pt idx="84">
                  <c:v>67.880302999999998</c:v>
                </c:pt>
                <c:pt idx="85">
                  <c:v>68.688282999999998</c:v>
                </c:pt>
                <c:pt idx="86">
                  <c:v>69.496262999999999</c:v>
                </c:pt>
                <c:pt idx="87">
                  <c:v>70.304242000000002</c:v>
                </c:pt>
                <c:pt idx="88">
                  <c:v>71.112222000000003</c:v>
                </c:pt>
                <c:pt idx="89">
                  <c:v>71.920202000000003</c:v>
                </c:pt>
                <c:pt idx="90">
                  <c:v>72.728182000000004</c:v>
                </c:pt>
                <c:pt idx="91">
                  <c:v>73.536162000000004</c:v>
                </c:pt>
                <c:pt idx="92">
                  <c:v>74.344140999999993</c:v>
                </c:pt>
                <c:pt idx="93">
                  <c:v>75.152120999999994</c:v>
                </c:pt>
                <c:pt idx="94">
                  <c:v>75.960100999999995</c:v>
                </c:pt>
                <c:pt idx="95">
                  <c:v>76.768080999999995</c:v>
                </c:pt>
                <c:pt idx="96">
                  <c:v>77.576060999999996</c:v>
                </c:pt>
                <c:pt idx="97">
                  <c:v>78.384039999999999</c:v>
                </c:pt>
                <c:pt idx="98">
                  <c:v>79.192019999999999</c:v>
                </c:pt>
                <c:pt idx="99">
                  <c:v>80</c:v>
                </c:pt>
              </c:numCache>
            </c:numRef>
          </c:cat>
          <c:val>
            <c:numRef>
              <c:f>'Pareto-5P'!$G$9:$G$108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09-4B2C-8049-81C02ABF6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sqref="A1:G1"/>
    </sheetView>
  </sheetViews>
  <sheetFormatPr defaultRowHeight="15" x14ac:dyDescent="0.25"/>
  <cols>
    <col min="1" max="1" width="100" customWidth="1"/>
  </cols>
  <sheetData>
    <row r="1" spans="1:7" ht="26.25" x14ac:dyDescent="0.4">
      <c r="A1" s="8" t="s">
        <v>0</v>
      </c>
      <c r="B1" s="7"/>
      <c r="C1" s="7"/>
      <c r="D1" s="7"/>
      <c r="E1" s="7"/>
      <c r="F1" s="7"/>
      <c r="G1" s="7"/>
    </row>
    <row r="3" spans="1:7" ht="15.75" x14ac:dyDescent="0.25">
      <c r="A3" s="6" t="s">
        <v>1</v>
      </c>
      <c r="B3" s="7"/>
      <c r="C3" s="7"/>
      <c r="D3" s="7"/>
      <c r="E3" s="7"/>
      <c r="F3" s="7"/>
      <c r="G3" s="7"/>
    </row>
    <row r="5" spans="1:7" x14ac:dyDescent="0.25">
      <c r="A5" t="s">
        <v>2</v>
      </c>
    </row>
    <row r="6" spans="1:7" x14ac:dyDescent="0.25">
      <c r="A6" t="s">
        <v>3</v>
      </c>
    </row>
    <row r="8" spans="1:7" x14ac:dyDescent="0.25">
      <c r="A8" t="s">
        <v>4</v>
      </c>
    </row>
    <row r="9" spans="1:7" x14ac:dyDescent="0.25">
      <c r="A9" t="s">
        <v>5</v>
      </c>
    </row>
    <row r="10" spans="1:7" x14ac:dyDescent="0.25">
      <c r="A10" t="s">
        <v>6</v>
      </c>
    </row>
    <row r="11" spans="1:7" x14ac:dyDescent="0.25">
      <c r="A11" t="s">
        <v>7</v>
      </c>
    </row>
    <row r="12" spans="1:7" x14ac:dyDescent="0.25">
      <c r="A12" t="s">
        <v>8</v>
      </c>
    </row>
    <row r="14" spans="1:7" x14ac:dyDescent="0.25">
      <c r="A14" t="s">
        <v>9</v>
      </c>
    </row>
    <row r="16" spans="1:7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2" spans="1:1" x14ac:dyDescent="0.25">
      <c r="A32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8" spans="1:1" x14ac:dyDescent="0.25">
      <c r="A38" t="s">
        <v>27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"/>
  <sheetViews>
    <sheetView tabSelected="1" workbookViewId="0">
      <selection activeCell="E9" sqref="E9"/>
    </sheetView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28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30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36</v>
      </c>
      <c r="B9" s="4">
        <v>2</v>
      </c>
      <c r="D9">
        <v>1</v>
      </c>
      <c r="E9" t="e" cm="1">
        <f t="array" aca="1" ref="E9" ca="1">FACKLER.PARETO.PDF(D9,$B$9,$B$10)</f>
        <v>#NAME?</v>
      </c>
      <c r="F9" t="e">
        <f t="shared" ref="F9:F40" ca="1" si="0">FACKLER.PARETO.CDF(D9,$B$9,$B$10)</f>
        <v>#NAME?</v>
      </c>
      <c r="G9" t="e">
        <f t="shared" ref="G9:G40" ca="1" si="1">FACKLER.PARETO.SF(D9,$B$9,$B$10)</f>
        <v>#NAME?</v>
      </c>
    </row>
    <row r="10" spans="1:7" x14ac:dyDescent="0.25">
      <c r="A10" s="3" t="s">
        <v>37</v>
      </c>
      <c r="B10" s="4">
        <v>1</v>
      </c>
      <c r="D10">
        <v>1.0909089999999999</v>
      </c>
      <c r="E10" t="e">
        <f t="shared" ref="E9:E40" ca="1" si="2">FACKLER.PARETO.PDF(D10,$B$9,$B$10)</f>
        <v>#NAME?</v>
      </c>
      <c r="F10" t="e">
        <f t="shared" ca="1" si="0"/>
        <v>#NAME?</v>
      </c>
      <c r="G10" t="e">
        <f t="shared" ca="1" si="1"/>
        <v>#NAME?</v>
      </c>
    </row>
    <row r="11" spans="1:7" x14ac:dyDescent="0.25">
      <c r="D11">
        <v>1.181818</v>
      </c>
      <c r="E11" t="e">
        <f t="shared" ca="1" si="2"/>
        <v>#NAME?</v>
      </c>
      <c r="F11" t="e">
        <f t="shared" ca="1" si="0"/>
        <v>#NAME?</v>
      </c>
      <c r="G11" t="e">
        <f t="shared" ca="1" si="1"/>
        <v>#NAME?</v>
      </c>
    </row>
    <row r="12" spans="1:7" x14ac:dyDescent="0.25">
      <c r="A12" s="12" t="s">
        <v>38</v>
      </c>
      <c r="B12" s="7"/>
      <c r="C12" s="7"/>
      <c r="D12">
        <v>1.2727269999999999</v>
      </c>
      <c r="E12" t="e">
        <f t="shared" ca="1" si="2"/>
        <v>#NAME?</v>
      </c>
      <c r="F12" t="e">
        <f t="shared" ca="1" si="0"/>
        <v>#NAME?</v>
      </c>
      <c r="G12" t="e">
        <f t="shared" ca="1" si="1"/>
        <v>#NAME?</v>
      </c>
    </row>
    <row r="13" spans="1:7" x14ac:dyDescent="0.25">
      <c r="D13">
        <v>1.3636360000000001</v>
      </c>
      <c r="E13" t="e">
        <f t="shared" ca="1" si="2"/>
        <v>#NAME?</v>
      </c>
      <c r="F13" t="e">
        <f t="shared" ca="1" si="0"/>
        <v>#NAME?</v>
      </c>
      <c r="G13" t="e">
        <f t="shared" ca="1" si="1"/>
        <v>#NAME?</v>
      </c>
    </row>
    <row r="14" spans="1:7" x14ac:dyDescent="0.25">
      <c r="D14">
        <v>1.454545</v>
      </c>
      <c r="E14" t="e">
        <f t="shared" ca="1" si="2"/>
        <v>#NAME?</v>
      </c>
      <c r="F14" t="e">
        <f t="shared" ca="1" si="0"/>
        <v>#NAME?</v>
      </c>
      <c r="G14" t="e">
        <f t="shared" ca="1" si="1"/>
        <v>#NAME?</v>
      </c>
    </row>
    <row r="15" spans="1:7" x14ac:dyDescent="0.25">
      <c r="D15">
        <v>1.545455</v>
      </c>
      <c r="E15" t="e">
        <f t="shared" ca="1" si="2"/>
        <v>#NAME?</v>
      </c>
      <c r="F15" t="e">
        <f t="shared" ca="1" si="0"/>
        <v>#NAME?</v>
      </c>
      <c r="G15" t="e">
        <f t="shared" ca="1" si="1"/>
        <v>#NAME?</v>
      </c>
    </row>
    <row r="16" spans="1:7" x14ac:dyDescent="0.25">
      <c r="D16">
        <v>1.6363639999999999</v>
      </c>
      <c r="E16" t="e">
        <f t="shared" ca="1" si="2"/>
        <v>#NAME?</v>
      </c>
      <c r="F16" t="e">
        <f t="shared" ca="1" si="0"/>
        <v>#NAME?</v>
      </c>
      <c r="G16" t="e">
        <f t="shared" ca="1" si="1"/>
        <v>#NAME?</v>
      </c>
    </row>
    <row r="17" spans="4:7" x14ac:dyDescent="0.25">
      <c r="D17">
        <v>1.7272730000000001</v>
      </c>
      <c r="E17" t="e">
        <f t="shared" ca="1" si="2"/>
        <v>#NAME?</v>
      </c>
      <c r="F17" t="e">
        <f t="shared" ca="1" si="0"/>
        <v>#NAME?</v>
      </c>
      <c r="G17" t="e">
        <f t="shared" ca="1" si="1"/>
        <v>#NAME?</v>
      </c>
    </row>
    <row r="18" spans="4:7" x14ac:dyDescent="0.25">
      <c r="D18">
        <v>1.818182</v>
      </c>
      <c r="E18" t="e">
        <f t="shared" ca="1" si="2"/>
        <v>#NAME?</v>
      </c>
      <c r="F18" t="e">
        <f t="shared" ca="1" si="0"/>
        <v>#NAME?</v>
      </c>
      <c r="G18" t="e">
        <f t="shared" ca="1" si="1"/>
        <v>#NAME?</v>
      </c>
    </row>
    <row r="19" spans="4:7" x14ac:dyDescent="0.25">
      <c r="D19">
        <v>1.9090910000000001</v>
      </c>
      <c r="E19" t="e">
        <f t="shared" ca="1" si="2"/>
        <v>#NAME?</v>
      </c>
      <c r="F19" t="e">
        <f t="shared" ca="1" si="0"/>
        <v>#NAME?</v>
      </c>
      <c r="G19" t="e">
        <f t="shared" ca="1" si="1"/>
        <v>#NAME?</v>
      </c>
    </row>
    <row r="20" spans="4:7" x14ac:dyDescent="0.25">
      <c r="D20">
        <v>2</v>
      </c>
      <c r="E20" t="e">
        <f t="shared" ca="1" si="2"/>
        <v>#NAME?</v>
      </c>
      <c r="F20" t="e">
        <f t="shared" ca="1" si="0"/>
        <v>#NAME?</v>
      </c>
      <c r="G20" t="e">
        <f t="shared" ca="1" si="1"/>
        <v>#NAME?</v>
      </c>
    </row>
    <row r="21" spans="4:7" x14ac:dyDescent="0.25">
      <c r="D21">
        <v>2.0909089999999999</v>
      </c>
      <c r="E21" t="e">
        <f t="shared" ca="1" si="2"/>
        <v>#NAME?</v>
      </c>
      <c r="F21" t="e">
        <f t="shared" ca="1" si="0"/>
        <v>#NAME?</v>
      </c>
      <c r="G21" t="e">
        <f t="shared" ca="1" si="1"/>
        <v>#NAME?</v>
      </c>
    </row>
    <row r="22" spans="4:7" x14ac:dyDescent="0.25">
      <c r="D22">
        <v>2.1818179999999998</v>
      </c>
      <c r="E22" t="e">
        <f t="shared" ca="1" si="2"/>
        <v>#NAME?</v>
      </c>
      <c r="F22" t="e">
        <f t="shared" ca="1" si="0"/>
        <v>#NAME?</v>
      </c>
      <c r="G22" t="e">
        <f t="shared" ca="1" si="1"/>
        <v>#NAME?</v>
      </c>
    </row>
    <row r="23" spans="4:7" x14ac:dyDescent="0.25">
      <c r="D23">
        <v>2.2727270000000002</v>
      </c>
      <c r="E23" t="e">
        <f t="shared" ca="1" si="2"/>
        <v>#NAME?</v>
      </c>
      <c r="F23" t="e">
        <f t="shared" ca="1" si="0"/>
        <v>#NAME?</v>
      </c>
      <c r="G23" t="e">
        <f t="shared" ca="1" si="1"/>
        <v>#NAME?</v>
      </c>
    </row>
    <row r="24" spans="4:7" x14ac:dyDescent="0.25">
      <c r="D24">
        <v>2.3636360000000001</v>
      </c>
      <c r="E24" t="e">
        <f t="shared" ca="1" si="2"/>
        <v>#NAME?</v>
      </c>
      <c r="F24" t="e">
        <f t="shared" ca="1" si="0"/>
        <v>#NAME?</v>
      </c>
      <c r="G24" t="e">
        <f t="shared" ca="1" si="1"/>
        <v>#NAME?</v>
      </c>
    </row>
    <row r="25" spans="4:7" x14ac:dyDescent="0.25">
      <c r="D25">
        <v>2.454545</v>
      </c>
      <c r="E25" t="e">
        <f t="shared" ca="1" si="2"/>
        <v>#NAME?</v>
      </c>
      <c r="F25" t="e">
        <f t="shared" ca="1" si="0"/>
        <v>#NAME?</v>
      </c>
      <c r="G25" t="e">
        <f t="shared" ca="1" si="1"/>
        <v>#NAME?</v>
      </c>
    </row>
    <row r="26" spans="4:7" x14ac:dyDescent="0.25">
      <c r="D26">
        <v>2.545455</v>
      </c>
      <c r="E26" t="e">
        <f t="shared" ca="1" si="2"/>
        <v>#NAME?</v>
      </c>
      <c r="F26" t="e">
        <f t="shared" ca="1" si="0"/>
        <v>#NAME?</v>
      </c>
      <c r="G26" t="e">
        <f t="shared" ca="1" si="1"/>
        <v>#NAME?</v>
      </c>
    </row>
    <row r="27" spans="4:7" x14ac:dyDescent="0.25">
      <c r="D27">
        <v>2.6363639999999999</v>
      </c>
      <c r="E27" t="e">
        <f t="shared" ca="1" si="2"/>
        <v>#NAME?</v>
      </c>
      <c r="F27" t="e">
        <f t="shared" ca="1" si="0"/>
        <v>#NAME?</v>
      </c>
      <c r="G27" t="e">
        <f t="shared" ca="1" si="1"/>
        <v>#NAME?</v>
      </c>
    </row>
    <row r="28" spans="4:7" x14ac:dyDescent="0.25">
      <c r="D28">
        <v>2.7272729999999998</v>
      </c>
      <c r="E28" t="e">
        <f t="shared" ca="1" si="2"/>
        <v>#NAME?</v>
      </c>
      <c r="F28" t="e">
        <f t="shared" ca="1" si="0"/>
        <v>#NAME?</v>
      </c>
      <c r="G28" t="e">
        <f t="shared" ca="1" si="1"/>
        <v>#NAME?</v>
      </c>
    </row>
    <row r="29" spans="4:7" x14ac:dyDescent="0.25">
      <c r="D29">
        <v>2.8181820000000002</v>
      </c>
      <c r="E29" t="e">
        <f t="shared" ca="1" si="2"/>
        <v>#NAME?</v>
      </c>
      <c r="F29" t="e">
        <f t="shared" ca="1" si="0"/>
        <v>#NAME?</v>
      </c>
      <c r="G29" t="e">
        <f t="shared" ca="1" si="1"/>
        <v>#NAME?</v>
      </c>
    </row>
    <row r="30" spans="4:7" x14ac:dyDescent="0.25">
      <c r="D30">
        <v>2.9090910000000001</v>
      </c>
      <c r="E30" t="e">
        <f t="shared" ca="1" si="2"/>
        <v>#NAME?</v>
      </c>
      <c r="F30" t="e">
        <f t="shared" ca="1" si="0"/>
        <v>#NAME?</v>
      </c>
      <c r="G30" t="e">
        <f t="shared" ca="1" si="1"/>
        <v>#NAME?</v>
      </c>
    </row>
    <row r="31" spans="4:7" x14ac:dyDescent="0.25">
      <c r="D31">
        <v>3</v>
      </c>
      <c r="E31" t="e">
        <f t="shared" ca="1" si="2"/>
        <v>#NAME?</v>
      </c>
      <c r="F31" t="e">
        <f t="shared" ca="1" si="0"/>
        <v>#NAME?</v>
      </c>
      <c r="G31" t="e">
        <f t="shared" ca="1" si="1"/>
        <v>#NAME?</v>
      </c>
    </row>
    <row r="32" spans="4:7" x14ac:dyDescent="0.25">
      <c r="D32">
        <v>3.0909089999999999</v>
      </c>
      <c r="E32" t="e">
        <f t="shared" ca="1" si="2"/>
        <v>#NAME?</v>
      </c>
      <c r="F32" t="e">
        <f t="shared" ca="1" si="0"/>
        <v>#NAME?</v>
      </c>
      <c r="G32" t="e">
        <f t="shared" ca="1" si="1"/>
        <v>#NAME?</v>
      </c>
    </row>
    <row r="33" spans="4:7" x14ac:dyDescent="0.25">
      <c r="D33">
        <v>3.1818179999999998</v>
      </c>
      <c r="E33" t="e">
        <f t="shared" ca="1" si="2"/>
        <v>#NAME?</v>
      </c>
      <c r="F33" t="e">
        <f t="shared" ca="1" si="0"/>
        <v>#NAME?</v>
      </c>
      <c r="G33" t="e">
        <f t="shared" ca="1" si="1"/>
        <v>#NAME?</v>
      </c>
    </row>
    <row r="34" spans="4:7" x14ac:dyDescent="0.25">
      <c r="D34">
        <v>3.2727270000000002</v>
      </c>
      <c r="E34" t="e">
        <f t="shared" ca="1" si="2"/>
        <v>#NAME?</v>
      </c>
      <c r="F34" t="e">
        <f t="shared" ca="1" si="0"/>
        <v>#NAME?</v>
      </c>
      <c r="G34" t="e">
        <f t="shared" ca="1" si="1"/>
        <v>#NAME?</v>
      </c>
    </row>
    <row r="35" spans="4:7" x14ac:dyDescent="0.25">
      <c r="D35">
        <v>3.3636360000000001</v>
      </c>
      <c r="E35" t="e">
        <f t="shared" ca="1" si="2"/>
        <v>#NAME?</v>
      </c>
      <c r="F35" t="e">
        <f t="shared" ca="1" si="0"/>
        <v>#NAME?</v>
      </c>
      <c r="G35" t="e">
        <f t="shared" ca="1" si="1"/>
        <v>#NAME?</v>
      </c>
    </row>
    <row r="36" spans="4:7" x14ac:dyDescent="0.25">
      <c r="D36">
        <v>3.454545</v>
      </c>
      <c r="E36" t="e">
        <f t="shared" ca="1" si="2"/>
        <v>#NAME?</v>
      </c>
      <c r="F36" t="e">
        <f t="shared" ca="1" si="0"/>
        <v>#NAME?</v>
      </c>
      <c r="G36" t="e">
        <f t="shared" ca="1" si="1"/>
        <v>#NAME?</v>
      </c>
    </row>
    <row r="37" spans="4:7" x14ac:dyDescent="0.25">
      <c r="D37">
        <v>3.545455</v>
      </c>
      <c r="E37" t="e">
        <f t="shared" ca="1" si="2"/>
        <v>#NAME?</v>
      </c>
      <c r="F37" t="e">
        <f t="shared" ca="1" si="0"/>
        <v>#NAME?</v>
      </c>
      <c r="G37" t="e">
        <f t="shared" ca="1" si="1"/>
        <v>#NAME?</v>
      </c>
    </row>
    <row r="38" spans="4:7" x14ac:dyDescent="0.25">
      <c r="D38">
        <v>3.6363639999999999</v>
      </c>
      <c r="E38" t="e">
        <f t="shared" ca="1" si="2"/>
        <v>#NAME?</v>
      </c>
      <c r="F38" t="e">
        <f t="shared" ca="1" si="0"/>
        <v>#NAME?</v>
      </c>
      <c r="G38" t="e">
        <f t="shared" ca="1" si="1"/>
        <v>#NAME?</v>
      </c>
    </row>
    <row r="39" spans="4:7" x14ac:dyDescent="0.25">
      <c r="D39">
        <v>3.7272729999999998</v>
      </c>
      <c r="E39" t="e">
        <f t="shared" ca="1" si="2"/>
        <v>#NAME?</v>
      </c>
      <c r="F39" t="e">
        <f t="shared" ca="1" si="0"/>
        <v>#NAME?</v>
      </c>
      <c r="G39" t="e">
        <f t="shared" ca="1" si="1"/>
        <v>#NAME?</v>
      </c>
    </row>
    <row r="40" spans="4:7" x14ac:dyDescent="0.25">
      <c r="D40">
        <v>3.8181820000000002</v>
      </c>
      <c r="E40" t="e">
        <f t="shared" ca="1" si="2"/>
        <v>#NAME?</v>
      </c>
      <c r="F40" t="e">
        <f t="shared" ca="1" si="0"/>
        <v>#NAME?</v>
      </c>
      <c r="G40" t="e">
        <f t="shared" ca="1" si="1"/>
        <v>#NAME?</v>
      </c>
    </row>
    <row r="41" spans="4:7" x14ac:dyDescent="0.25">
      <c r="D41">
        <v>3.9090910000000001</v>
      </c>
      <c r="E41" t="e">
        <f t="shared" ref="E41:E72" ca="1" si="3">FACKLER.PARETO.PDF(D41,$B$9,$B$10)</f>
        <v>#NAME?</v>
      </c>
      <c r="F41" t="e">
        <f t="shared" ref="F41:F72" ca="1" si="4">FACKLER.PARETO.CDF(D41,$B$9,$B$10)</f>
        <v>#NAME?</v>
      </c>
      <c r="G41" t="e">
        <f t="shared" ref="G41:G72" ca="1" si="5">FACKLER.PARETO.SF(D41,$B$9,$B$10)</f>
        <v>#NAME?</v>
      </c>
    </row>
    <row r="42" spans="4:7" x14ac:dyDescent="0.25">
      <c r="D42">
        <v>4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4.0909089999999999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4.1818179999999998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4.2727269999999997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4.3636359999999996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4.4545450000000004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4.5454549999999996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4.6363640000000004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4.7272730000000003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4.8181820000000002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4.9090910000000001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5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5.0909089999999999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5.1818179999999998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5.2727269999999997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5.3636359999999996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5.4545450000000004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5.5454549999999996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5.6363640000000004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5.7272730000000003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5.8181820000000002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5.9090910000000001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6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6.0909089999999999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6.1818179999999998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6.2727269999999997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6.3636359999999996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6.4545450000000004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6.5454549999999996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6.6363640000000004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6.7272730000000003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6.8181820000000002</v>
      </c>
      <c r="E73" t="e">
        <f t="shared" ref="E73:E104" ca="1" si="6">FACKLER.PARETO.PDF(D73,$B$9,$B$10)</f>
        <v>#NAME?</v>
      </c>
      <c r="F73" t="e">
        <f t="shared" ref="F73:F108" ca="1" si="7">FACKLER.PARETO.CDF(D73,$B$9,$B$10)</f>
        <v>#NAME?</v>
      </c>
      <c r="G73" t="e">
        <f t="shared" ref="G73:G108" ca="1" si="8">FACKLER.PARETO.SF(D73,$B$9,$B$10)</f>
        <v>#NAME?</v>
      </c>
    </row>
    <row r="74" spans="4:7" x14ac:dyDescent="0.25">
      <c r="D74">
        <v>6.9090910000000001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7.0909089999999999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7.1818179999999998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7.2727269999999997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7.3636359999999996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7.4545450000000004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7.5454549999999996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7.6363640000000004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7.7272730000000003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7.8181820000000002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7.9090910000000001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8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8.0909089999999999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8.1818179999999998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8.2727269999999997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8.3636359999999996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8.4545449999999995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8.5454550000000005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8.6363640000000004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8.7272730000000003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8.8181820000000002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8.9090910000000001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9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9.0909089999999999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9.1818179999999998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9.2727269999999997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9.3636359999999996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9.4545449999999995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9.5454550000000005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9.6363640000000004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9.7272730000000003</v>
      </c>
      <c r="E105" t="e">
        <f t="shared" ref="E105:E136" ca="1" si="9">FACKLER.PARETO.PDF(D105,$B$9,$B$10)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9.8181820000000002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9.9090910000000001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10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8:B8"/>
    <mergeCell ref="A1:G1"/>
    <mergeCell ref="A12:C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39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40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36</v>
      </c>
      <c r="B9" s="4">
        <v>2</v>
      </c>
      <c r="D9">
        <v>1</v>
      </c>
      <c r="E9" t="e">
        <f t="shared" ref="E9:E40" ca="1" si="0">FACKLER.GPD.PDF(D9,$B$9,$B$10,$B$11)</f>
        <v>#NAME?</v>
      </c>
      <c r="F9" t="e">
        <f t="shared" ref="F9:F40" ca="1" si="1">FACKLER.GPD.CDF(D9,$B$9,$B$10,$B$11)</f>
        <v>#NAME?</v>
      </c>
      <c r="G9" t="e">
        <f t="shared" ref="G9:G40" ca="1" si="2">FACKLER.GPD.SF(D9,$B$9,$B$10,$B$11)</f>
        <v>#NAME?</v>
      </c>
    </row>
    <row r="10" spans="1:7" x14ac:dyDescent="0.25">
      <c r="A10" s="3" t="s">
        <v>41</v>
      </c>
      <c r="B10" s="4">
        <v>1</v>
      </c>
      <c r="D10">
        <v>1.1414139999999999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37</v>
      </c>
      <c r="B11" s="4">
        <v>1</v>
      </c>
      <c r="D11">
        <v>1.2828280000000001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D12">
        <v>1.424242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s="12" t="s">
        <v>42</v>
      </c>
      <c r="B13" s="7"/>
      <c r="C13" s="7"/>
      <c r="D13">
        <v>1.5656570000000001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D14">
        <v>1.707071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1.8484849999999999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1.9898990000000001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2.131313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2.2727270000000002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2.4141409999999999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2.5555560000000002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2.6969699999999999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2.838384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2.9797980000000002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3.1212119999999999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3.262626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3.4040400000000002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3.545455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3.6868690000000002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3.8282829999999999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3.969697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4.1111110000000002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4.2525250000000003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4.3939389999999996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4.5353539999999999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4.676768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4.8181820000000002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4.9595960000000003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5.1010099999999996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5.2424239999999998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5.3838379999999999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5.5252530000000002</v>
      </c>
      <c r="E41" t="e">
        <f t="shared" ref="E41:E72" ca="1" si="3">FACKLER.GPD.PDF(D41,$B$9,$B$10,$B$11)</f>
        <v>#NAME?</v>
      </c>
      <c r="F41" t="e">
        <f t="shared" ref="F41:F72" ca="1" si="4">FACKLER.GPD.CDF(D41,$B$9,$B$10,$B$11)</f>
        <v>#NAME?</v>
      </c>
      <c r="G41" t="e">
        <f t="shared" ref="G41:G72" ca="1" si="5">FACKLER.GPD.SF(D41,$B$9,$B$10,$B$11)</f>
        <v>#NAME?</v>
      </c>
    </row>
    <row r="42" spans="4:7" x14ac:dyDescent="0.25">
      <c r="D42">
        <v>5.6666670000000003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5.8080809999999996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5.9494949999999998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6.0909089999999999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6.2323230000000001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6.3737370000000002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6.5151519999999996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6.6565659999999998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6.7979799999999999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6.9393940000000001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7.0808080000000002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7.2222220000000004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7.3636359999999996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7.5050509999999999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7.6464650000000001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7.7878790000000002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7.9292930000000004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8.0707070000000005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8.2121209999999998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8.3535350000000008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8.4949490000000001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8.6363640000000004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8.7777779999999996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8.9191920000000007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9.0606059999999999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9.2020199999999992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9.3434340000000002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9.4848479999999995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9.6262629999999998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9.7676770000000008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9.9090910000000001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10.050504999999999</v>
      </c>
      <c r="E73" t="e">
        <f t="shared" ref="E73:E104" ca="1" si="6">FACKLER.GPD.PDF(D73,$B$9,$B$10,$B$11)</f>
        <v>#NAME?</v>
      </c>
      <c r="F73" t="e">
        <f t="shared" ref="F73:F108" ca="1" si="7">FACKLER.GPD.CDF(D73,$B$9,$B$10,$B$11)</f>
        <v>#NAME?</v>
      </c>
      <c r="G73" t="e">
        <f t="shared" ref="G73:G108" ca="1" si="8">FACKLER.GPD.SF(D73,$B$9,$B$10,$B$11)</f>
        <v>#NAME?</v>
      </c>
    </row>
    <row r="74" spans="4:7" x14ac:dyDescent="0.25">
      <c r="D74">
        <v>10.191919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10.333333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10.474747000000001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10.616161999999999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10.757576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10.89899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11.040404000000001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11.181818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11.323232000000001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11.464646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11.606061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11.747475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11.888889000000001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12.030303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12.171716999999999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12.313131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12.454545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12.59596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12.737374000000001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12.878788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13.020201999999999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13.161616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13.30303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13.444444000000001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13.585858999999999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13.727273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13.868687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14.010101000000001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14.151515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14.292929000000001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14.434343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14.575758</v>
      </c>
      <c r="E105" t="e">
        <f t="shared" ref="E105:E136" ca="1" si="9">FACKLER.GPD.PDF(D105,$B$9,$B$10,$B$11)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14.717172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14.858586000000001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15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8:B8"/>
    <mergeCell ref="A13:C13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43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44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36</v>
      </c>
      <c r="B9" s="4">
        <v>2</v>
      </c>
      <c r="D9">
        <v>0.01</v>
      </c>
      <c r="E9" t="e">
        <f t="shared" ref="E9:E40" ca="1" si="0">FACKLER.LOMAX.PDF(D9,$B$9,$B$10)</f>
        <v>#NAME?</v>
      </c>
      <c r="F9" t="e">
        <f t="shared" ref="F9:F40" ca="1" si="1">FACKLER.LOMAX.CDF(D9,$B$9,$B$10)</f>
        <v>#NAME?</v>
      </c>
      <c r="G9" t="e">
        <f t="shared" ref="G9:G40" ca="1" si="2">FACKLER.LOMAX.SF(D9,$B$9,$B$10)</f>
        <v>#NAME?</v>
      </c>
    </row>
    <row r="10" spans="1:7" x14ac:dyDescent="0.25">
      <c r="A10" s="3" t="s">
        <v>41</v>
      </c>
      <c r="B10" s="4">
        <v>2</v>
      </c>
      <c r="D10">
        <v>0.161414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D11">
        <v>0.31282799999999999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D12">
        <v>0.46424199999999999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D13">
        <v>0.61565700000000001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D14">
        <v>0.76707099999999995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0.918485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1.0698989999999999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1.2213130000000001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1.372727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1.524141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1.675556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1.82697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1.9783839999999999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2.1297980000000001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2.281212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2.432626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2.5840399999999999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2.735455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2.8868689999999999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3.0382829999999998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3.1896969999999998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3.3411110000000002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3.4925250000000001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3.643939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3.7953540000000001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3.9467680000000001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4.0981820000000004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4.2495960000000004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4.4010100000000003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4.5524240000000002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4.7038380000000002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4.8552530000000003</v>
      </c>
      <c r="E41" t="e">
        <f t="shared" ref="E41:E72" ca="1" si="3">FACKLER.LOMAX.PDF(D41,$B$9,$B$10)</f>
        <v>#NAME?</v>
      </c>
      <c r="F41" t="e">
        <f t="shared" ref="F41:F72" ca="1" si="4">FACKLER.LOMAX.CDF(D41,$B$9,$B$10)</f>
        <v>#NAME?</v>
      </c>
      <c r="G41" t="e">
        <f t="shared" ref="G41:G72" ca="1" si="5">FACKLER.LOMAX.SF(D41,$B$9,$B$10)</f>
        <v>#NAME?</v>
      </c>
    </row>
    <row r="42" spans="4:7" x14ac:dyDescent="0.25">
      <c r="D42">
        <v>5.0066670000000002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5.1580810000000001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5.3094950000000001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5.460909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5.612323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5.7637369999999999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5.915152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6.0665659999999999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6.2179799999999998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6.3693939999999998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6.5208079999999997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6.6722219999999997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6.8236359999999996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6.9750509999999997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7.1264649999999996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7.2778790000000004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7.4292930000000004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7.5807070000000003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7.7321210000000002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7.8835350000000002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8.0349489999999992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8.1863639999999993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8.3377780000000001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8.4891919999999992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8.640606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8.7920200000000008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8.9434339999999999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9.0948480000000007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9.2462630000000008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9.3976769999999998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9.5490910000000007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9.7005049999999997</v>
      </c>
      <c r="E73" t="e">
        <f t="shared" ref="E73:E104" ca="1" si="6">FACKLER.LOMAX.PDF(D73,$B$9,$B$10)</f>
        <v>#NAME?</v>
      </c>
      <c r="F73" t="e">
        <f t="shared" ref="F73:F108" ca="1" si="7">FACKLER.LOMAX.CDF(D73,$B$9,$B$10)</f>
        <v>#NAME?</v>
      </c>
      <c r="G73" t="e">
        <f t="shared" ref="G73:G108" ca="1" si="8">FACKLER.LOMAX.SF(D73,$B$9,$B$10)</f>
        <v>#NAME?</v>
      </c>
    </row>
    <row r="74" spans="4:7" x14ac:dyDescent="0.25">
      <c r="D74">
        <v>9.8519190000000005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10.003333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10.154747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10.306162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10.457576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10.60899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10.760403999999999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10.911818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11.063231999999999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11.214646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11.366061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11.517474999999999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11.668889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11.820302999999999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11.971717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12.123131000000001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12.274545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12.42596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12.577374000000001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12.728788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12.880202000000001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13.031616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13.18303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13.334444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13.485859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13.637273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13.788686999999999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13.940101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14.091514999999999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14.242929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14.394342999999999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14.545757999999999</v>
      </c>
      <c r="E105" t="e">
        <f t="shared" ref="E105:E136" ca="1" si="9">FACKLER.LOMAX.PDF(D105,$B$9,$B$10)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14.697172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14.848585999999999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15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3">
    <mergeCell ref="A4:C6"/>
    <mergeCell ref="A8:B8"/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45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46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36</v>
      </c>
      <c r="B9" s="4">
        <v>2</v>
      </c>
      <c r="D9">
        <v>0.01</v>
      </c>
      <c r="E9" t="e">
        <f t="shared" ref="E9:E40" ca="1" si="0">FACKLER.BURR.PDF(D9,$B$9,$B$10,$B$11)</f>
        <v>#NAME?</v>
      </c>
      <c r="F9" t="e">
        <f t="shared" ref="F9:F40" ca="1" si="1">FACKLER.BURR.CDF(D9,$B$9,$B$10,$B$11)</f>
        <v>#NAME?</v>
      </c>
      <c r="G9" t="e">
        <f t="shared" ref="G9:G40" ca="1" si="2">FACKLER.BURR.SF(D9,$B$9,$B$10,$B$11)</f>
        <v>#NAME?</v>
      </c>
    </row>
    <row r="10" spans="1:7" x14ac:dyDescent="0.25">
      <c r="A10" s="3" t="s">
        <v>41</v>
      </c>
      <c r="B10" s="4">
        <v>2</v>
      </c>
      <c r="D10">
        <v>0.11090899999999999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47</v>
      </c>
      <c r="B11" s="4">
        <v>2</v>
      </c>
      <c r="D11">
        <v>0.21181800000000001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D12">
        <v>0.31272699999999998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s="12" t="s">
        <v>48</v>
      </c>
      <c r="B13" s="7"/>
      <c r="C13" s="7"/>
      <c r="D13">
        <v>0.413636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D14">
        <v>0.51454500000000003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0.61545499999999997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0.716364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0.81727300000000003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0.91818200000000005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1.019091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1.1200000000000001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1.220909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1.3218179999999999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1.4227270000000001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1.523636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1.6245449999999999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1.725455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1.8263640000000001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1.927273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2.0281820000000002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2.1290909999999998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2.23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2.3309090000000001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2.4318179999999998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2.532727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2.6336360000000001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2.7345449999999998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2.8354550000000001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2.9363640000000002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3.0372729999999999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3.138182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3.2390910000000002</v>
      </c>
      <c r="E41" t="e">
        <f t="shared" ref="E41:E72" ca="1" si="3">FACKLER.BURR.PDF(D41,$B$9,$B$10,$B$11)</f>
        <v>#NAME?</v>
      </c>
      <c r="F41" t="e">
        <f t="shared" ref="F41:F72" ca="1" si="4">FACKLER.BURR.CDF(D41,$B$9,$B$10,$B$11)</f>
        <v>#NAME?</v>
      </c>
      <c r="G41" t="e">
        <f t="shared" ref="G41:G72" ca="1" si="5">FACKLER.BURR.SF(D41,$B$9,$B$10,$B$11)</f>
        <v>#NAME?</v>
      </c>
    </row>
    <row r="42" spans="4:7" x14ac:dyDescent="0.25">
      <c r="D42">
        <v>3.34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3.440909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3.5418180000000001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3.6427269999999998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3.743636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3.8445450000000001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3.9454549999999999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4.0463639999999996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4.1472730000000002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4.2481819999999999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4.3490909999999996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4.45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4.5509089999999999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4.6518179999999996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4.7527270000000001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4.8536359999999998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4.9545450000000004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5.0554550000000003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5.1563639999999999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5.2572729999999996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5.3581820000000002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5.4590909999999999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5.56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5.6609090000000002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5.7618179999999999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5.8627269999999996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5.9636360000000002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6.0645449999999999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6.1654549999999997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6.2663640000000003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6.367273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6.4681819999999997</v>
      </c>
      <c r="E73" t="e">
        <f t="shared" ref="E73:E104" ca="1" si="6">FACKLER.BURR.PDF(D73,$B$9,$B$10,$B$11)</f>
        <v>#NAME?</v>
      </c>
      <c r="F73" t="e">
        <f t="shared" ref="F73:F108" ca="1" si="7">FACKLER.BURR.CDF(D73,$B$9,$B$10,$B$11)</f>
        <v>#NAME?</v>
      </c>
      <c r="G73" t="e">
        <f t="shared" ref="G73:G108" ca="1" si="8">FACKLER.BURR.SF(D73,$B$9,$B$10,$B$11)</f>
        <v>#NAME?</v>
      </c>
    </row>
    <row r="74" spans="4:7" x14ac:dyDescent="0.25">
      <c r="D74">
        <v>6.5690910000000002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6.67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6.7709089999999996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6.8718180000000002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6.9727269999999999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7.0736359999999996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7.1745450000000002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7.275455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7.3763639999999997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7.4772730000000003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7.578182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7.6790909999999997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7.78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7.8809089999999999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7.9818179999999996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8.0827270000000002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8.1836359999999999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8.2845449999999996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8.3854550000000003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8.486364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8.5872729999999997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8.6881819999999994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8.7890910000000009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8.89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8.9909090000000003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9.091818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9.1927269999999996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9.2936359999999993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9.3945450000000008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9.4954549999999998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9.5963639999999995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9.6972729999999991</v>
      </c>
      <c r="E105" t="e">
        <f t="shared" ref="E105:E136" ca="1" si="9">FACKLER.BURR.PDF(D105,$B$9,$B$10,$B$11)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9.7981820000000006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9.8990910000000003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10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8:B8"/>
    <mergeCell ref="A13:C13"/>
    <mergeCell ref="A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49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50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51</v>
      </c>
      <c r="B9" s="4">
        <v>1</v>
      </c>
      <c r="D9">
        <v>0.1</v>
      </c>
      <c r="E9" t="e">
        <f t="shared" ref="E9:E40" ca="1" si="0">FACKLER.LNPARETO.PDF(D9,$B$9,$B$10,$B$11)</f>
        <v>#NAME?</v>
      </c>
      <c r="F9" t="e">
        <f t="shared" ref="F9:F40" ca="1" si="1">FACKLER.LNPARETO.CDF(D9,$B$9,$B$10,$B$11)</f>
        <v>#NAME?</v>
      </c>
      <c r="G9" t="e">
        <f t="shared" ref="G9:G40" ca="1" si="2">FACKLER.LNPARETO.SF(D9,$B$9,$B$10,$B$11)</f>
        <v>#NAME?</v>
      </c>
    </row>
    <row r="10" spans="1:7" x14ac:dyDescent="0.25">
      <c r="A10" s="3" t="s">
        <v>52</v>
      </c>
      <c r="B10" s="4">
        <v>0.8</v>
      </c>
      <c r="D10">
        <v>0.60404000000000002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37</v>
      </c>
      <c r="B11" s="4">
        <v>10</v>
      </c>
      <c r="D11">
        <v>1.1080810000000001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D12">
        <v>1.6121209999999999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s="1" t="s">
        <v>53</v>
      </c>
      <c r="D13">
        <v>2.1161620000000001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A14" t="s">
        <v>54</v>
      </c>
      <c r="B14" s="5" t="e">
        <f ca="1">FACKLER.LNPARETO.ALPHA($B$9,$B$10,$B$11)</f>
        <v>#NAME?</v>
      </c>
      <c r="D14">
        <v>2.6202019999999999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3.1242420000000002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A16" s="12" t="s">
        <v>55</v>
      </c>
      <c r="B16" s="7"/>
      <c r="C16" s="7"/>
      <c r="D16">
        <v>3.6282830000000001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4.1323230000000004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4.6363640000000004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5.1404040000000002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5.644444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6.148485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6.6525249999999998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7.1565659999999998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7.6606059999999996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8.1646459999999994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8.6686870000000003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9.1727270000000001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9.6767679999999991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10.180808000000001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10.684848000000001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11.188889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11.692928999999999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12.19697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12.70101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13.205050999999999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13.709091000000001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14.213131000000001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14.717172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15.221212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15.725253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16.229292999999998</v>
      </c>
      <c r="E41" t="e">
        <f t="shared" ref="E41:E72" ca="1" si="3">FACKLER.LNPARETO.PDF(D41,$B$9,$B$10,$B$11)</f>
        <v>#NAME?</v>
      </c>
      <c r="F41" t="e">
        <f t="shared" ref="F41:F72" ca="1" si="4">FACKLER.LNPARETO.CDF(D41,$B$9,$B$10,$B$11)</f>
        <v>#NAME?</v>
      </c>
      <c r="G41" t="e">
        <f t="shared" ref="G41:G72" ca="1" si="5">FACKLER.LNPARETO.SF(D41,$B$9,$B$10,$B$11)</f>
        <v>#NAME?</v>
      </c>
    </row>
    <row r="42" spans="4:7" x14ac:dyDescent="0.25">
      <c r="D42">
        <v>16.733332999999998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17.237373999999999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17.741413999999999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18.245455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18.749495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19.253534999999999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19.757576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20.261616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20.765657000000001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21.269697000000001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21.773737000000001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22.277778000000001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22.781818000000001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23.285858999999999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23.789898999999998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24.293939000000002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24.797979999999999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25.302019999999999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25.806061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26.310101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26.814140999999999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27.318182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27.822222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28.326263000000001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28.830303000000001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29.334343000000001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29.838384000000001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30.342424000000001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30.846464999999998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31.350504999999998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31.854545000000002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32.358586000000003</v>
      </c>
      <c r="E73" t="e">
        <f t="shared" ref="E73:E104" ca="1" si="6">FACKLER.LNPARETO.PDF(D73,$B$9,$B$10,$B$11)</f>
        <v>#NAME?</v>
      </c>
      <c r="F73" t="e">
        <f t="shared" ref="F73:F108" ca="1" si="7">FACKLER.LNPARETO.CDF(D73,$B$9,$B$10,$B$11)</f>
        <v>#NAME?</v>
      </c>
      <c r="G73" t="e">
        <f t="shared" ref="G73:G108" ca="1" si="8">FACKLER.LNPARETO.SF(D73,$B$9,$B$10,$B$11)</f>
        <v>#NAME?</v>
      </c>
    </row>
    <row r="74" spans="4:7" x14ac:dyDescent="0.25">
      <c r="D74">
        <v>32.862625999999999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33.366667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33.870707000000003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34.374746999999999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34.878788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35.382828000000003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35.886868999999997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36.390909000000001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36.894948999999997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37.398989999999998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37.903030000000001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38.407071000000002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38.911110999999998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39.415151999999999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39.919192000000002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40.423231999999999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40.927273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41.431313000000003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41.935353999999997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42.439394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42.943434000000003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43.447474999999997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43.951515000000001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44.455556000000001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44.959595999999998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45.463636000000001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45.967677000000002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46.471716999999998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46.975757999999999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47.479798000000002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47.983837999999999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48.487879</v>
      </c>
      <c r="E105" t="e">
        <f t="shared" ref="E105:E136" ca="1" si="9">FACKLER.LNPARETO.PDF(D105,$B$9,$B$10,$B$11)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48.991919000000003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49.495959999999997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50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16:C16"/>
    <mergeCell ref="A8:B8"/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56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57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58</v>
      </c>
      <c r="B9" s="4">
        <v>2</v>
      </c>
      <c r="D9">
        <v>0.1</v>
      </c>
      <c r="E9" t="e">
        <f t="shared" ref="E9:E40" ca="1" si="0">FACKLER.WEIPARETO.PDF(D9,$B$9,$B$10,$B$11,$B$12)</f>
        <v>#NAME?</v>
      </c>
      <c r="F9" t="e">
        <f t="shared" ref="F9:F40" ca="1" si="1">FACKLER.WEIPARETO.CDF(D9,$B$9,$B$10,$B$11,$B$12)</f>
        <v>#NAME?</v>
      </c>
      <c r="G9" t="e">
        <f t="shared" ref="G9:G40" ca="1" si="2">FACKLER.WEIPARETO.SF(D9,$B$9,$B$10,$B$11,$B$12)</f>
        <v>#NAME?</v>
      </c>
    </row>
    <row r="10" spans="1:7" x14ac:dyDescent="0.25">
      <c r="A10" s="3" t="s">
        <v>59</v>
      </c>
      <c r="B10" s="4">
        <v>5</v>
      </c>
      <c r="D10">
        <v>0.50302999999999998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37</v>
      </c>
      <c r="B11" s="4">
        <v>10</v>
      </c>
      <c r="D11">
        <v>0.90606100000000001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A12" s="3" t="s">
        <v>60</v>
      </c>
      <c r="B12" s="4">
        <v>0.7</v>
      </c>
      <c r="D12">
        <v>1.309091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D13">
        <v>1.712121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A14" s="1" t="s">
        <v>53</v>
      </c>
      <c r="D14">
        <v>2.1151520000000001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A15" t="s">
        <v>54</v>
      </c>
      <c r="B15" s="5" t="e">
        <f ca="1">FACKLER.WEIPARETO.ALPHA($B$9,$B$10,$B$11,$B$12)</f>
        <v>#NAME?</v>
      </c>
      <c r="D15">
        <v>2.5181819999999999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2.9212120000000001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3.3242419999999999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3.7272729999999998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4.1303029999999996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4.5333329999999998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4.9363640000000002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5.3393940000000004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5.7424239999999998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6.1454550000000001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6.5484850000000003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6.9515149999999997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7.3545449999999999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7.7575760000000002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8.1606059999999996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8.5636360000000007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8.9666669999999993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9.3696970000000004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9.7727269999999997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10.175758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10.578787999999999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10.981818000000001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11.384848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11.787879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12.190909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12.593939000000001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12.996969999999999</v>
      </c>
      <c r="E41" t="e">
        <f t="shared" ref="E41:E72" ca="1" si="3">FACKLER.WEIPARETO.PDF(D41,$B$9,$B$10,$B$11,$B$12)</f>
        <v>#NAME?</v>
      </c>
      <c r="F41" t="e">
        <f t="shared" ref="F41:F72" ca="1" si="4">FACKLER.WEIPARETO.CDF(D41,$B$9,$B$10,$B$11,$B$12)</f>
        <v>#NAME?</v>
      </c>
      <c r="G41" t="e">
        <f t="shared" ref="G41:G72" ca="1" si="5">FACKLER.WEIPARETO.SF(D41,$B$9,$B$10,$B$11,$B$12)</f>
        <v>#NAME?</v>
      </c>
    </row>
    <row r="42" spans="4:7" x14ac:dyDescent="0.25">
      <c r="D42">
        <v>13.4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13.80303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14.206061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14.609090999999999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15.012121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15.415152000000001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15.818182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16.221212000000001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16.624241999999999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17.027273000000001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17.430302999999999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17.833333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18.236363999999998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18.639393999999999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19.042424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19.445454999999999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19.848485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20.251515000000001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20.654544999999999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21.057576000000001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21.460605999999999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21.863636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22.266667000000002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22.669696999999999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23.072727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23.475757999999999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23.878788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24.281818000000001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24.684847999999999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25.087879000000001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25.490908999999998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25.893939</v>
      </c>
      <c r="E73" t="e">
        <f t="shared" ref="E73:E104" ca="1" si="6">FACKLER.WEIPARETO.PDF(D73,$B$9,$B$10,$B$11,$B$12)</f>
        <v>#NAME?</v>
      </c>
      <c r="F73" t="e">
        <f t="shared" ref="F73:F108" ca="1" si="7">FACKLER.WEIPARETO.CDF(D73,$B$9,$B$10,$B$11,$B$12)</f>
        <v>#NAME?</v>
      </c>
      <c r="G73" t="e">
        <f t="shared" ref="G73:G108" ca="1" si="8">FACKLER.WEIPARETO.SF(D73,$B$9,$B$10,$B$11,$B$12)</f>
        <v>#NAME?</v>
      </c>
    </row>
    <row r="74" spans="4:7" x14ac:dyDescent="0.25">
      <c r="D74">
        <v>26.296970000000002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26.7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27.10303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27.506060999999999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27.909091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28.312121000000001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28.715152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29.118182000000001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29.521211999999998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29.924242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30.327273000000002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30.730302999999999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31.133333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31.536363999999999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31.939394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32.342424000000001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32.745455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33.148485000000001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33.551515000000002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33.954545000000003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34.357576000000002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34.760606000000003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35.163635999999997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35.566667000000002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35.969696999999996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36.372726999999998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36.775758000000003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37.178787999999997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37.581817999999998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37.984848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38.387878999999998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38.790908999999999</v>
      </c>
      <c r="E105" t="e">
        <f t="shared" ref="E105:E136" ca="1" si="9">FACKLER.WEIPARETO.PDF(D105,$B$9,$B$10,$B$11,$B$12)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39.193939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39.596969999999999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40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3">
    <mergeCell ref="A4:C6"/>
    <mergeCell ref="A8:B8"/>
    <mergeCell ref="A1:G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61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62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63</v>
      </c>
      <c r="B9" s="4">
        <v>0.15</v>
      </c>
      <c r="D9">
        <v>0.01</v>
      </c>
      <c r="E9" t="e">
        <f t="shared" ref="E9:E40" ca="1" si="0">FACKLER.EXPPARETO.PDF(D9,$B$9,$B$10)</f>
        <v>#NAME?</v>
      </c>
      <c r="F9" t="e">
        <f t="shared" ref="F9:F40" ca="1" si="1">FACKLER.EXPPARETO.CDF(D9,$B$9,$B$10)</f>
        <v>#NAME?</v>
      </c>
      <c r="G9" t="e">
        <f t="shared" ref="G9:G40" ca="1" si="2">FACKLER.EXPPARETO.SF(D9,$B$9,$B$10)</f>
        <v>#NAME?</v>
      </c>
    </row>
    <row r="10" spans="1:7" x14ac:dyDescent="0.25">
      <c r="A10" s="3" t="s">
        <v>37</v>
      </c>
      <c r="B10" s="4">
        <v>10</v>
      </c>
      <c r="D10">
        <v>0.413939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D11">
        <v>0.81787900000000002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A12" s="1" t="s">
        <v>53</v>
      </c>
      <c r="D12">
        <v>1.2218180000000001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t="s">
        <v>54</v>
      </c>
      <c r="B13" s="5" t="e">
        <f ca="1">FACKLER.EXPPARETO.ALPHA($B$9,$B$10)</f>
        <v>#NAME?</v>
      </c>
      <c r="D13">
        <v>1.625758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A14" t="s">
        <v>64</v>
      </c>
      <c r="B14" s="5" t="e">
        <f ca="1">FACKLER.EXPPARETO.R($B$9,$B$10)</f>
        <v>#NAME?</v>
      </c>
      <c r="D14">
        <v>2.0296970000000001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2.4336359999999999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A16" s="12" t="s">
        <v>65</v>
      </c>
      <c r="B16" s="7"/>
      <c r="C16" s="7"/>
      <c r="D16">
        <v>2.8375759999999999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3.2415150000000001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3.6454550000000001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4.0493940000000004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4.4533329999999998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4.8572730000000002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5.2612120000000004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5.665152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6.0690910000000002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6.4730299999999996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6.87697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7.2809090000000003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7.6848479999999997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8.0887879999999992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8.4927270000000004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8.8966670000000008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9.3006060000000002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9.7045449999999995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10.108485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10.512423999999999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10.916364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11.320302999999999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11.724242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12.128182000000001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12.532121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12.936061</v>
      </c>
      <c r="E41" t="e">
        <f t="shared" ref="E41:E72" ca="1" si="3">FACKLER.EXPPARETO.PDF(D41,$B$9,$B$10)</f>
        <v>#NAME?</v>
      </c>
      <c r="F41" t="e">
        <f t="shared" ref="F41:F72" ca="1" si="4">FACKLER.EXPPARETO.CDF(D41,$B$9,$B$10)</f>
        <v>#NAME?</v>
      </c>
      <c r="G41" t="e">
        <f t="shared" ref="G41:G72" ca="1" si="5">FACKLER.EXPPARETO.SF(D41,$B$9,$B$10)</f>
        <v>#NAME?</v>
      </c>
    </row>
    <row r="42" spans="4:7" x14ac:dyDescent="0.25">
      <c r="D42">
        <v>13.34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13.743938999999999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14.147879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14.551818000000001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14.955757999999999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15.359697000000001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15.763636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16.167576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16.571515000000002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16.975455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17.379394000000001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17.783332999999999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18.187273000000001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18.591211999999999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18.995152000000001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19.399090999999999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19.80303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20.206969999999998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20.610908999999999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21.014848000000001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21.418787999999999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21.822727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22.226666999999999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22.630606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23.034545000000001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23.438485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23.842424000000001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24.246364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24.650303000000001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25.054241999999999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25.458182000000001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25.862120999999998</v>
      </c>
      <c r="E73" t="e">
        <f t="shared" ref="E73:E104" ca="1" si="6">FACKLER.EXPPARETO.PDF(D73,$B$9,$B$10)</f>
        <v>#NAME?</v>
      </c>
      <c r="F73" t="e">
        <f t="shared" ref="F73:F108" ca="1" si="7">FACKLER.EXPPARETO.CDF(D73,$B$9,$B$10)</f>
        <v>#NAME?</v>
      </c>
      <c r="G73" t="e">
        <f t="shared" ref="G73:G108" ca="1" si="8">FACKLER.EXPPARETO.SF(D73,$B$9,$B$10)</f>
        <v>#NAME?</v>
      </c>
    </row>
    <row r="74" spans="4:7" x14ac:dyDescent="0.25">
      <c r="D74">
        <v>26.266061000000001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26.67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27.073938999999999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27.477879000000001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27.881817999999999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28.285758000000001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28.689696999999999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29.093636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29.497575999999999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29.901515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30.305454999999998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30.709394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31.113333000000001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31.517272999999999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31.921212000000001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32.325152000000003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32.729090999999997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33.133029999999998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33.536969999999997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33.940908999999998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34.344847999999999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34.748787999999998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35.152726999999999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35.556666999999997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35.960605999999999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36.364545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36.768484999999998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37.172423999999999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37.576363999999998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37.980302999999999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38.384242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38.788181999999999</v>
      </c>
      <c r="E105" t="e">
        <f t="shared" ref="E105:E136" ca="1" si="9">FACKLER.EXPPARETO.PDF(D105,$B$9,$B$10)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39.192121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39.596060999999999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40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16:C16"/>
    <mergeCell ref="A8:B8"/>
    <mergeCell ref="A1:G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66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67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36</v>
      </c>
      <c r="B9" s="4">
        <v>2</v>
      </c>
      <c r="D9">
        <v>0.01</v>
      </c>
      <c r="E9" t="e">
        <f t="shared" ref="E9:E40" ca="1" si="0">FACKLER.POWPARETO.PDF(D9,$B$9,$B$10,$B$11)</f>
        <v>#NAME?</v>
      </c>
      <c r="F9" t="e">
        <f t="shared" ref="F9:F40" ca="1" si="1">FACKLER.POWPARETO.CDF(D9,$B$9,$B$10,$B$11)</f>
        <v>#NAME?</v>
      </c>
      <c r="G9" t="e">
        <f t="shared" ref="G9:G40" ca="1" si="2">FACKLER.POWPARETO.SF(D9,$B$9,$B$10,$B$11)</f>
        <v>#NAME?</v>
      </c>
    </row>
    <row r="10" spans="1:7" x14ac:dyDescent="0.25">
      <c r="A10" s="3" t="s">
        <v>68</v>
      </c>
      <c r="B10" s="4">
        <v>1.5</v>
      </c>
      <c r="D10">
        <v>0.211919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37</v>
      </c>
      <c r="B11" s="4">
        <v>5</v>
      </c>
      <c r="D11">
        <v>0.41383799999999998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D12">
        <v>0.61575800000000003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s="1" t="s">
        <v>53</v>
      </c>
      <c r="D13">
        <v>0.81767699999999999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A14" t="s">
        <v>64</v>
      </c>
      <c r="B14" s="5" t="e">
        <f ca="1">FACKLER.POWPARETO.R($B$9,$B$10)</f>
        <v>#NAME?</v>
      </c>
      <c r="D14">
        <v>1.0195959999999999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1.2215149999999999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A16" s="12" t="s">
        <v>69</v>
      </c>
      <c r="B16" s="7"/>
      <c r="C16" s="7"/>
      <c r="D16">
        <v>1.4234340000000001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1.625354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1.8272729999999999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2.0291920000000001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2.2311109999999998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2.43303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2.6349490000000002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2.8368690000000001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3.0387879999999998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3.240707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3.4426260000000002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3.6445449999999999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3.8464649999999998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4.0483840000000004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4.2503029999999997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4.4522219999999999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4.6541410000000001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4.8560610000000004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5.0579799999999997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5.2598989999999999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5.4618180000000001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5.6637370000000002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5.8656569999999997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6.0675759999999999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6.269495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6.4714140000000002</v>
      </c>
      <c r="E41" t="e">
        <f t="shared" ref="E41:E72" ca="1" si="3">FACKLER.POWPARETO.PDF(D41,$B$9,$B$10,$B$11)</f>
        <v>#NAME?</v>
      </c>
      <c r="F41" t="e">
        <f t="shared" ref="F41:F72" ca="1" si="4">FACKLER.POWPARETO.CDF(D41,$B$9,$B$10,$B$11)</f>
        <v>#NAME?</v>
      </c>
      <c r="G41" t="e">
        <f t="shared" ref="G41:G72" ca="1" si="5">FACKLER.POWPARETO.SF(D41,$B$9,$B$10,$B$11)</f>
        <v>#NAME?</v>
      </c>
    </row>
    <row r="42" spans="4:7" x14ac:dyDescent="0.25">
      <c r="D42">
        <v>6.6733330000000004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6.8752529999999998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7.077172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7.2790910000000002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7.4810100000000004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7.6829289999999997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7.8848479999999999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8.0867679999999993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8.2886869999999995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8.4906059999999997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8.6925249999999998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8.894444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9.0963639999999995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9.2982829999999996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9.5002019999999998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9.702121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9.9040400000000002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10.10596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10.307879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10.509798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10.711717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10.913636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11.115556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11.317475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11.519394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11.721313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11.923232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12.125152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12.327071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12.52899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12.730909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12.932828000000001</v>
      </c>
      <c r="E73" t="e">
        <f t="shared" ref="E73:E104" ca="1" si="6">FACKLER.POWPARETO.PDF(D73,$B$9,$B$10,$B$11)</f>
        <v>#NAME?</v>
      </c>
      <c r="F73" t="e">
        <f t="shared" ref="F73:F108" ca="1" si="7">FACKLER.POWPARETO.CDF(D73,$B$9,$B$10,$B$11)</f>
        <v>#NAME?</v>
      </c>
      <c r="G73" t="e">
        <f t="shared" ref="G73:G108" ca="1" si="8">FACKLER.POWPARETO.SF(D73,$B$9,$B$10,$B$11)</f>
        <v>#NAME?</v>
      </c>
    </row>
    <row r="74" spans="4:7" x14ac:dyDescent="0.25">
      <c r="D74">
        <v>13.134747000000001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13.336667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13.538586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13.740505000000001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13.942424000000001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14.144342999999999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14.346263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14.548182000000001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14.750101000000001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14.952019999999999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15.153938999999999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15.355859000000001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15.557778000000001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15.759696999999999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15.961615999999999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16.163535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16.365455000000001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16.567374000000001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16.769293000000001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16.971212000000001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17.173131000000001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17.375050999999999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17.576969999999999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17.778888999999999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17.980808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18.182727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18.384646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18.586566000000001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18.788485000000001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18.990404000000002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19.192322999999998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19.394241999999998</v>
      </c>
      <c r="E105" t="e">
        <f t="shared" ref="E105:E136" ca="1" si="9">FACKLER.POWPARETO.PDF(D105,$B$9,$B$10,$B$11)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19.596162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19.798081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20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16:C16"/>
    <mergeCell ref="A8:B8"/>
    <mergeCell ref="A1:G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70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71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72</v>
      </c>
      <c r="B9" s="4">
        <v>1.5</v>
      </c>
      <c r="D9">
        <v>0.01</v>
      </c>
      <c r="E9" t="e">
        <f t="shared" ref="E9:E40" ca="1" si="0">FACKLER.PARETO4.PDF(D9,$B$9,$B$10,$B$11,$B$12)</f>
        <v>#NAME?</v>
      </c>
      <c r="F9" t="e">
        <f t="shared" ref="F9:F40" ca="1" si="1">FACKLER.PARETO4.CDF(D9,$B$9,$B$10,$B$11,$B$12)</f>
        <v>#NAME?</v>
      </c>
      <c r="G9" t="e">
        <f t="shared" ref="G9:G40" ca="1" si="2">FACKLER.PARETO4.SF(D9,$B$9,$B$10,$B$11,$B$12)</f>
        <v>#NAME?</v>
      </c>
    </row>
    <row r="10" spans="1:7" x14ac:dyDescent="0.25">
      <c r="A10" s="3" t="s">
        <v>73</v>
      </c>
      <c r="B10" s="4">
        <v>2</v>
      </c>
      <c r="D10">
        <v>0.51494899999999999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74</v>
      </c>
      <c r="B11" s="4">
        <v>10</v>
      </c>
      <c r="D11">
        <v>1.0198990000000001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A12" s="3" t="s">
        <v>75</v>
      </c>
      <c r="B12" s="4">
        <v>0.6</v>
      </c>
      <c r="D12">
        <v>1.524848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D13">
        <v>2.029798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A14" s="12" t="s">
        <v>76</v>
      </c>
      <c r="B14" s="7"/>
      <c r="C14" s="7"/>
      <c r="D14">
        <v>2.5347469999999999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3.0396969999999999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3.5446460000000002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4.0495960000000002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4.5545450000000001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5.0594950000000001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5.5644439999999999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6.069394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6.5743429999999998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7.0792929999999998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7.5842419999999997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8.0891920000000006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8.5941410000000005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9.0990909999999996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9.6040399999999995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10.10899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10.613939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11.118888999999999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11.623837999999999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12.128788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12.633737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13.138686999999999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13.643636000000001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14.148586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14.653535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15.158485000000001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15.663434000000001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16.168384</v>
      </c>
      <c r="E41" t="e">
        <f t="shared" ref="E41:E72" ca="1" si="3">FACKLER.PARETO4.PDF(D41,$B$9,$B$10,$B$11,$B$12)</f>
        <v>#NAME?</v>
      </c>
      <c r="F41" t="e">
        <f t="shared" ref="F41:F72" ca="1" si="4">FACKLER.PARETO4.CDF(D41,$B$9,$B$10,$B$11,$B$12)</f>
        <v>#NAME?</v>
      </c>
      <c r="G41" t="e">
        <f t="shared" ref="G41:G72" ca="1" si="5">FACKLER.PARETO4.SF(D41,$B$9,$B$10,$B$11,$B$12)</f>
        <v>#NAME?</v>
      </c>
    </row>
    <row r="42" spans="4:7" x14ac:dyDescent="0.25">
      <c r="D42">
        <v>16.673333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17.178283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17.683232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18.188182000000001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18.693131000000001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19.198080999999998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19.703029999999998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20.207979999999999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20.712928999999999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21.217879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21.722828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22.227778000000001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22.732727000000001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23.237677000000001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23.742626000000001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24.247575999999999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24.752524999999999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25.257474999999999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25.762423999999999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26.267374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26.772323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27.277273000000001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27.782222000000001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28.287172000000002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28.792121000000002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29.297070999999999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29.802019999999999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30.30697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30.811919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31.316869000000001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31.821818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32.326768000000001</v>
      </c>
      <c r="E73" t="e">
        <f t="shared" ref="E73:E104" ca="1" si="6">FACKLER.PARETO4.PDF(D73,$B$9,$B$10,$B$11,$B$12)</f>
        <v>#NAME?</v>
      </c>
      <c r="F73" t="e">
        <f t="shared" ref="F73:F108" ca="1" si="7">FACKLER.PARETO4.CDF(D73,$B$9,$B$10,$B$11,$B$12)</f>
        <v>#NAME?</v>
      </c>
      <c r="G73" t="e">
        <f t="shared" ref="G73:G108" ca="1" si="8">FACKLER.PARETO4.SF(D73,$B$9,$B$10,$B$11,$B$12)</f>
        <v>#NAME?</v>
      </c>
    </row>
    <row r="74" spans="4:7" x14ac:dyDescent="0.25">
      <c r="D74">
        <v>32.831716999999998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33.336666999999998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33.841616000000002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34.346566000000003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34.851514999999999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35.356465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35.861414000000003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36.366363999999997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36.871313000000001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37.376263000000002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37.881211999999998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38.386161999999999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38.891111000000002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39.396061000000003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39.901009999999999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40.40596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40.910908999999997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41.415858999999998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41.920808000000001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42.425758000000002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42.930706999999998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43.435656999999999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43.940606000000002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44.445556000000003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44.950505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45.455455000000001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45.960403999999997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46.465353999999998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46.970303000000001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47.475253000000002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47.980201999999998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48.485151999999999</v>
      </c>
      <c r="E105" t="e">
        <f t="shared" ref="E105:E136" ca="1" si="9">FACKLER.PARETO4.PDF(D105,$B$9,$B$10,$B$11,$B$12)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48.990101000000003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49.495050999999997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50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4">
    <mergeCell ref="A4:C6"/>
    <mergeCell ref="A8:B8"/>
    <mergeCell ref="A14:C14"/>
    <mergeCell ref="A1:G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8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3" customWidth="1"/>
    <col min="4" max="4" width="12" customWidth="1"/>
    <col min="5" max="7" width="15" customWidth="1"/>
  </cols>
  <sheetData>
    <row r="1" spans="1:7" ht="21" x14ac:dyDescent="0.35">
      <c r="A1" s="11" t="s">
        <v>77</v>
      </c>
      <c r="B1" s="7"/>
      <c r="C1" s="7"/>
      <c r="D1" s="7"/>
      <c r="E1" s="7"/>
      <c r="F1" s="7"/>
      <c r="G1" s="7"/>
    </row>
    <row r="3" spans="1:7" x14ac:dyDescent="0.25">
      <c r="A3" s="1" t="s">
        <v>29</v>
      </c>
    </row>
    <row r="4" spans="1:7" x14ac:dyDescent="0.25">
      <c r="A4" s="9" t="s">
        <v>78</v>
      </c>
      <c r="B4" s="7"/>
      <c r="C4" s="7"/>
    </row>
    <row r="5" spans="1:7" x14ac:dyDescent="0.25">
      <c r="A5" s="7"/>
      <c r="B5" s="7"/>
      <c r="C5" s="7"/>
    </row>
    <row r="6" spans="1:7" x14ac:dyDescent="0.25">
      <c r="A6" s="7"/>
      <c r="B6" s="7"/>
      <c r="C6" s="7"/>
    </row>
    <row r="8" spans="1:7" ht="18.75" x14ac:dyDescent="0.3">
      <c r="A8" s="10" t="s">
        <v>31</v>
      </c>
      <c r="B8" s="7"/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5">
      <c r="A9" s="3" t="s">
        <v>79</v>
      </c>
      <c r="B9" s="4">
        <v>3</v>
      </c>
      <c r="D9">
        <v>0.01</v>
      </c>
      <c r="E9" t="e">
        <f t="shared" ref="E9:E40" ca="1" si="0">FACKLER.PARETO5.PDF(D9,$B$9,$B$10,$B$11,$B$12,$B$13)</f>
        <v>#NAME?</v>
      </c>
      <c r="F9" t="e">
        <f t="shared" ref="F9:F40" ca="1" si="1">FACKLER.PARETO5.CDF(D9,$B$9,$B$10,$B$11,$B$12,$B$13)</f>
        <v>#NAME?</v>
      </c>
      <c r="G9" t="e">
        <f t="shared" ref="G9:G40" ca="1" si="2">FACKLER.PARETO5.SF(D9,$B$9,$B$10,$B$11,$B$12,$B$13)</f>
        <v>#NAME?</v>
      </c>
    </row>
    <row r="10" spans="1:7" x14ac:dyDescent="0.25">
      <c r="A10" s="3" t="s">
        <v>72</v>
      </c>
      <c r="B10" s="4">
        <v>1.5</v>
      </c>
      <c r="D10">
        <v>0.81798000000000004</v>
      </c>
      <c r="E10" t="e">
        <f t="shared" ca="1" si="0"/>
        <v>#NAME?</v>
      </c>
      <c r="F10" t="e">
        <f t="shared" ca="1" si="1"/>
        <v>#NAME?</v>
      </c>
      <c r="G10" t="e">
        <f t="shared" ca="1" si="2"/>
        <v>#NAME?</v>
      </c>
    </row>
    <row r="11" spans="1:7" x14ac:dyDescent="0.25">
      <c r="A11" s="3" t="s">
        <v>73</v>
      </c>
      <c r="B11" s="4">
        <v>2</v>
      </c>
      <c r="D11">
        <v>1.6259600000000001</v>
      </c>
      <c r="E11" t="e">
        <f t="shared" ca="1" si="0"/>
        <v>#NAME?</v>
      </c>
      <c r="F11" t="e">
        <f t="shared" ca="1" si="1"/>
        <v>#NAME?</v>
      </c>
      <c r="G11" t="e">
        <f t="shared" ca="1" si="2"/>
        <v>#NAME?</v>
      </c>
    </row>
    <row r="12" spans="1:7" x14ac:dyDescent="0.25">
      <c r="A12" s="3" t="s">
        <v>74</v>
      </c>
      <c r="B12" s="4">
        <v>15</v>
      </c>
      <c r="D12">
        <v>2.4339390000000001</v>
      </c>
      <c r="E12" t="e">
        <f t="shared" ca="1" si="0"/>
        <v>#NAME?</v>
      </c>
      <c r="F12" t="e">
        <f t="shared" ca="1" si="1"/>
        <v>#NAME?</v>
      </c>
      <c r="G12" t="e">
        <f t="shared" ca="1" si="2"/>
        <v>#NAME?</v>
      </c>
    </row>
    <row r="13" spans="1:7" x14ac:dyDescent="0.25">
      <c r="A13" s="3" t="s">
        <v>75</v>
      </c>
      <c r="B13" s="4">
        <v>0.7</v>
      </c>
      <c r="D13">
        <v>3.2419190000000002</v>
      </c>
      <c r="E13" t="e">
        <f t="shared" ca="1" si="0"/>
        <v>#NAME?</v>
      </c>
      <c r="F13" t="e">
        <f t="shared" ca="1" si="1"/>
        <v>#NAME?</v>
      </c>
      <c r="G13" t="e">
        <f t="shared" ca="1" si="2"/>
        <v>#NAME?</v>
      </c>
    </row>
    <row r="14" spans="1:7" x14ac:dyDescent="0.25">
      <c r="D14">
        <v>4.0498989999999999</v>
      </c>
      <c r="E14" t="e">
        <f t="shared" ca="1" si="0"/>
        <v>#NAME?</v>
      </c>
      <c r="F14" t="e">
        <f t="shared" ca="1" si="1"/>
        <v>#NAME?</v>
      </c>
      <c r="G14" t="e">
        <f t="shared" ca="1" si="2"/>
        <v>#NAME?</v>
      </c>
    </row>
    <row r="15" spans="1:7" x14ac:dyDescent="0.25">
      <c r="D15">
        <v>4.8578789999999996</v>
      </c>
      <c r="E15" t="e">
        <f t="shared" ca="1" si="0"/>
        <v>#NAME?</v>
      </c>
      <c r="F15" t="e">
        <f t="shared" ca="1" si="1"/>
        <v>#NAME?</v>
      </c>
      <c r="G15" t="e">
        <f t="shared" ca="1" si="2"/>
        <v>#NAME?</v>
      </c>
    </row>
    <row r="16" spans="1:7" x14ac:dyDescent="0.25">
      <c r="D16">
        <v>5.6658590000000002</v>
      </c>
      <c r="E16" t="e">
        <f t="shared" ca="1" si="0"/>
        <v>#NAME?</v>
      </c>
      <c r="F16" t="e">
        <f t="shared" ca="1" si="1"/>
        <v>#NAME?</v>
      </c>
      <c r="G16" t="e">
        <f t="shared" ca="1" si="2"/>
        <v>#NAME?</v>
      </c>
    </row>
    <row r="17" spans="4:7" x14ac:dyDescent="0.25">
      <c r="D17">
        <v>6.4738379999999998</v>
      </c>
      <c r="E17" t="e">
        <f t="shared" ca="1" si="0"/>
        <v>#NAME?</v>
      </c>
      <c r="F17" t="e">
        <f t="shared" ca="1" si="1"/>
        <v>#NAME?</v>
      </c>
      <c r="G17" t="e">
        <f t="shared" ca="1" si="2"/>
        <v>#NAME?</v>
      </c>
    </row>
    <row r="18" spans="4:7" x14ac:dyDescent="0.25">
      <c r="D18">
        <v>7.2818180000000003</v>
      </c>
      <c r="E18" t="e">
        <f t="shared" ca="1" si="0"/>
        <v>#NAME?</v>
      </c>
      <c r="F18" t="e">
        <f t="shared" ca="1" si="1"/>
        <v>#NAME?</v>
      </c>
      <c r="G18" t="e">
        <f t="shared" ca="1" si="2"/>
        <v>#NAME?</v>
      </c>
    </row>
    <row r="19" spans="4:7" x14ac:dyDescent="0.25">
      <c r="D19">
        <v>8.089798</v>
      </c>
      <c r="E19" t="e">
        <f t="shared" ca="1" si="0"/>
        <v>#NAME?</v>
      </c>
      <c r="F19" t="e">
        <f t="shared" ca="1" si="1"/>
        <v>#NAME?</v>
      </c>
      <c r="G19" t="e">
        <f t="shared" ca="1" si="2"/>
        <v>#NAME?</v>
      </c>
    </row>
    <row r="20" spans="4:7" x14ac:dyDescent="0.25">
      <c r="D20">
        <v>8.8977780000000006</v>
      </c>
      <c r="E20" t="e">
        <f t="shared" ca="1" si="0"/>
        <v>#NAME?</v>
      </c>
      <c r="F20" t="e">
        <f t="shared" ca="1" si="1"/>
        <v>#NAME?</v>
      </c>
      <c r="G20" t="e">
        <f t="shared" ca="1" si="2"/>
        <v>#NAME?</v>
      </c>
    </row>
    <row r="21" spans="4:7" x14ac:dyDescent="0.25">
      <c r="D21">
        <v>9.7057579999999994</v>
      </c>
      <c r="E21" t="e">
        <f t="shared" ca="1" si="0"/>
        <v>#NAME?</v>
      </c>
      <c r="F21" t="e">
        <f t="shared" ca="1" si="1"/>
        <v>#NAME?</v>
      </c>
      <c r="G21" t="e">
        <f t="shared" ca="1" si="2"/>
        <v>#NAME?</v>
      </c>
    </row>
    <row r="22" spans="4:7" x14ac:dyDescent="0.25">
      <c r="D22">
        <v>10.513737000000001</v>
      </c>
      <c r="E22" t="e">
        <f t="shared" ca="1" si="0"/>
        <v>#NAME?</v>
      </c>
      <c r="F22" t="e">
        <f t="shared" ca="1" si="1"/>
        <v>#NAME?</v>
      </c>
      <c r="G22" t="e">
        <f t="shared" ca="1" si="2"/>
        <v>#NAME?</v>
      </c>
    </row>
    <row r="23" spans="4:7" x14ac:dyDescent="0.25">
      <c r="D23">
        <v>11.321717</v>
      </c>
      <c r="E23" t="e">
        <f t="shared" ca="1" si="0"/>
        <v>#NAME?</v>
      </c>
      <c r="F23" t="e">
        <f t="shared" ca="1" si="1"/>
        <v>#NAME?</v>
      </c>
      <c r="G23" t="e">
        <f t="shared" ca="1" si="2"/>
        <v>#NAME?</v>
      </c>
    </row>
    <row r="24" spans="4:7" x14ac:dyDescent="0.25">
      <c r="D24">
        <v>12.129697</v>
      </c>
      <c r="E24" t="e">
        <f t="shared" ca="1" si="0"/>
        <v>#NAME?</v>
      </c>
      <c r="F24" t="e">
        <f t="shared" ca="1" si="1"/>
        <v>#NAME?</v>
      </c>
      <c r="G24" t="e">
        <f t="shared" ca="1" si="2"/>
        <v>#NAME?</v>
      </c>
    </row>
    <row r="25" spans="4:7" x14ac:dyDescent="0.25">
      <c r="D25">
        <v>12.937677000000001</v>
      </c>
      <c r="E25" t="e">
        <f t="shared" ca="1" si="0"/>
        <v>#NAME?</v>
      </c>
      <c r="F25" t="e">
        <f t="shared" ca="1" si="1"/>
        <v>#NAME?</v>
      </c>
      <c r="G25" t="e">
        <f t="shared" ca="1" si="2"/>
        <v>#NAME?</v>
      </c>
    </row>
    <row r="26" spans="4:7" x14ac:dyDescent="0.25">
      <c r="D26">
        <v>13.745657</v>
      </c>
      <c r="E26" t="e">
        <f t="shared" ca="1" si="0"/>
        <v>#NAME?</v>
      </c>
      <c r="F26" t="e">
        <f t="shared" ca="1" si="1"/>
        <v>#NAME?</v>
      </c>
      <c r="G26" t="e">
        <f t="shared" ca="1" si="2"/>
        <v>#NAME?</v>
      </c>
    </row>
    <row r="27" spans="4:7" x14ac:dyDescent="0.25">
      <c r="D27">
        <v>14.553635999999999</v>
      </c>
      <c r="E27" t="e">
        <f t="shared" ca="1" si="0"/>
        <v>#NAME?</v>
      </c>
      <c r="F27" t="e">
        <f t="shared" ca="1" si="1"/>
        <v>#NAME?</v>
      </c>
      <c r="G27" t="e">
        <f t="shared" ca="1" si="2"/>
        <v>#NAME?</v>
      </c>
    </row>
    <row r="28" spans="4:7" x14ac:dyDescent="0.25">
      <c r="D28">
        <v>15.361616</v>
      </c>
      <c r="E28" t="e">
        <f t="shared" ca="1" si="0"/>
        <v>#NAME?</v>
      </c>
      <c r="F28" t="e">
        <f t="shared" ca="1" si="1"/>
        <v>#NAME?</v>
      </c>
      <c r="G28" t="e">
        <f t="shared" ca="1" si="2"/>
        <v>#NAME?</v>
      </c>
    </row>
    <row r="29" spans="4:7" x14ac:dyDescent="0.25">
      <c r="D29">
        <v>16.169595999999999</v>
      </c>
      <c r="E29" t="e">
        <f t="shared" ca="1" si="0"/>
        <v>#NAME?</v>
      </c>
      <c r="F29" t="e">
        <f t="shared" ca="1" si="1"/>
        <v>#NAME?</v>
      </c>
      <c r="G29" t="e">
        <f t="shared" ca="1" si="2"/>
        <v>#NAME?</v>
      </c>
    </row>
    <row r="30" spans="4:7" x14ac:dyDescent="0.25">
      <c r="D30">
        <v>16.977575999999999</v>
      </c>
      <c r="E30" t="e">
        <f t="shared" ca="1" si="0"/>
        <v>#NAME?</v>
      </c>
      <c r="F30" t="e">
        <f t="shared" ca="1" si="1"/>
        <v>#NAME?</v>
      </c>
      <c r="G30" t="e">
        <f t="shared" ca="1" si="2"/>
        <v>#NAME?</v>
      </c>
    </row>
    <row r="31" spans="4:7" x14ac:dyDescent="0.25">
      <c r="D31">
        <v>17.785556</v>
      </c>
      <c r="E31" t="e">
        <f t="shared" ca="1" si="0"/>
        <v>#NAME?</v>
      </c>
      <c r="F31" t="e">
        <f t="shared" ca="1" si="1"/>
        <v>#NAME?</v>
      </c>
      <c r="G31" t="e">
        <f t="shared" ca="1" si="2"/>
        <v>#NAME?</v>
      </c>
    </row>
    <row r="32" spans="4:7" x14ac:dyDescent="0.25">
      <c r="D32">
        <v>18.593534999999999</v>
      </c>
      <c r="E32" t="e">
        <f t="shared" ca="1" si="0"/>
        <v>#NAME?</v>
      </c>
      <c r="F32" t="e">
        <f t="shared" ca="1" si="1"/>
        <v>#NAME?</v>
      </c>
      <c r="G32" t="e">
        <f t="shared" ca="1" si="2"/>
        <v>#NAME?</v>
      </c>
    </row>
    <row r="33" spans="4:7" x14ac:dyDescent="0.25">
      <c r="D33">
        <v>19.401515</v>
      </c>
      <c r="E33" t="e">
        <f t="shared" ca="1" si="0"/>
        <v>#NAME?</v>
      </c>
      <c r="F33" t="e">
        <f t="shared" ca="1" si="1"/>
        <v>#NAME?</v>
      </c>
      <c r="G33" t="e">
        <f t="shared" ca="1" si="2"/>
        <v>#NAME?</v>
      </c>
    </row>
    <row r="34" spans="4:7" x14ac:dyDescent="0.25">
      <c r="D34">
        <v>20.209495</v>
      </c>
      <c r="E34" t="e">
        <f t="shared" ca="1" si="0"/>
        <v>#NAME?</v>
      </c>
      <c r="F34" t="e">
        <f t="shared" ca="1" si="1"/>
        <v>#NAME?</v>
      </c>
      <c r="G34" t="e">
        <f t="shared" ca="1" si="2"/>
        <v>#NAME?</v>
      </c>
    </row>
    <row r="35" spans="4:7" x14ac:dyDescent="0.25">
      <c r="D35">
        <v>21.017475000000001</v>
      </c>
      <c r="E35" t="e">
        <f t="shared" ca="1" si="0"/>
        <v>#NAME?</v>
      </c>
      <c r="F35" t="e">
        <f t="shared" ca="1" si="1"/>
        <v>#NAME?</v>
      </c>
      <c r="G35" t="e">
        <f t="shared" ca="1" si="2"/>
        <v>#NAME?</v>
      </c>
    </row>
    <row r="36" spans="4:7" x14ac:dyDescent="0.25">
      <c r="D36">
        <v>21.825455000000002</v>
      </c>
      <c r="E36" t="e">
        <f t="shared" ca="1" si="0"/>
        <v>#NAME?</v>
      </c>
      <c r="F36" t="e">
        <f t="shared" ca="1" si="1"/>
        <v>#NAME?</v>
      </c>
      <c r="G36" t="e">
        <f t="shared" ca="1" si="2"/>
        <v>#NAME?</v>
      </c>
    </row>
    <row r="37" spans="4:7" x14ac:dyDescent="0.25">
      <c r="D37">
        <v>22.633434000000001</v>
      </c>
      <c r="E37" t="e">
        <f t="shared" ca="1" si="0"/>
        <v>#NAME?</v>
      </c>
      <c r="F37" t="e">
        <f t="shared" ca="1" si="1"/>
        <v>#NAME?</v>
      </c>
      <c r="G37" t="e">
        <f t="shared" ca="1" si="2"/>
        <v>#NAME?</v>
      </c>
    </row>
    <row r="38" spans="4:7" x14ac:dyDescent="0.25">
      <c r="D38">
        <v>23.441414000000002</v>
      </c>
      <c r="E38" t="e">
        <f t="shared" ca="1" si="0"/>
        <v>#NAME?</v>
      </c>
      <c r="F38" t="e">
        <f t="shared" ca="1" si="1"/>
        <v>#NAME?</v>
      </c>
      <c r="G38" t="e">
        <f t="shared" ca="1" si="2"/>
        <v>#NAME?</v>
      </c>
    </row>
    <row r="39" spans="4:7" x14ac:dyDescent="0.25">
      <c r="D39">
        <v>24.249393999999999</v>
      </c>
      <c r="E39" t="e">
        <f t="shared" ca="1" si="0"/>
        <v>#NAME?</v>
      </c>
      <c r="F39" t="e">
        <f t="shared" ca="1" si="1"/>
        <v>#NAME?</v>
      </c>
      <c r="G39" t="e">
        <f t="shared" ca="1" si="2"/>
        <v>#NAME?</v>
      </c>
    </row>
    <row r="40" spans="4:7" x14ac:dyDescent="0.25">
      <c r="D40">
        <v>25.057373999999999</v>
      </c>
      <c r="E40" t="e">
        <f t="shared" ca="1" si="0"/>
        <v>#NAME?</v>
      </c>
      <c r="F40" t="e">
        <f t="shared" ca="1" si="1"/>
        <v>#NAME?</v>
      </c>
      <c r="G40" t="e">
        <f t="shared" ca="1" si="2"/>
        <v>#NAME?</v>
      </c>
    </row>
    <row r="41" spans="4:7" x14ac:dyDescent="0.25">
      <c r="D41">
        <v>25.865354</v>
      </c>
      <c r="E41" t="e">
        <f t="shared" ref="E41:E72" ca="1" si="3">FACKLER.PARETO5.PDF(D41,$B$9,$B$10,$B$11,$B$12,$B$13)</f>
        <v>#NAME?</v>
      </c>
      <c r="F41" t="e">
        <f t="shared" ref="F41:F72" ca="1" si="4">FACKLER.PARETO5.CDF(D41,$B$9,$B$10,$B$11,$B$12,$B$13)</f>
        <v>#NAME?</v>
      </c>
      <c r="G41" t="e">
        <f t="shared" ref="G41:G72" ca="1" si="5">FACKLER.PARETO5.SF(D41,$B$9,$B$10,$B$11,$B$12,$B$13)</f>
        <v>#NAME?</v>
      </c>
    </row>
    <row r="42" spans="4:7" x14ac:dyDescent="0.25">
      <c r="D42">
        <v>26.673333</v>
      </c>
      <c r="E42" t="e">
        <f t="shared" ca="1" si="3"/>
        <v>#NAME?</v>
      </c>
      <c r="F42" t="e">
        <f t="shared" ca="1" si="4"/>
        <v>#NAME?</v>
      </c>
      <c r="G42" t="e">
        <f t="shared" ca="1" si="5"/>
        <v>#NAME?</v>
      </c>
    </row>
    <row r="43" spans="4:7" x14ac:dyDescent="0.25">
      <c r="D43">
        <v>27.481313</v>
      </c>
      <c r="E43" t="e">
        <f t="shared" ca="1" si="3"/>
        <v>#NAME?</v>
      </c>
      <c r="F43" t="e">
        <f t="shared" ca="1" si="4"/>
        <v>#NAME?</v>
      </c>
      <c r="G43" t="e">
        <f t="shared" ca="1" si="5"/>
        <v>#NAME?</v>
      </c>
    </row>
    <row r="44" spans="4:7" x14ac:dyDescent="0.25">
      <c r="D44">
        <v>28.289293000000001</v>
      </c>
      <c r="E44" t="e">
        <f t="shared" ca="1" si="3"/>
        <v>#NAME?</v>
      </c>
      <c r="F44" t="e">
        <f t="shared" ca="1" si="4"/>
        <v>#NAME?</v>
      </c>
      <c r="G44" t="e">
        <f t="shared" ca="1" si="5"/>
        <v>#NAME?</v>
      </c>
    </row>
    <row r="45" spans="4:7" x14ac:dyDescent="0.25">
      <c r="D45">
        <v>29.097273000000001</v>
      </c>
      <c r="E45" t="e">
        <f t="shared" ca="1" si="3"/>
        <v>#NAME?</v>
      </c>
      <c r="F45" t="e">
        <f t="shared" ca="1" si="4"/>
        <v>#NAME?</v>
      </c>
      <c r="G45" t="e">
        <f t="shared" ca="1" si="5"/>
        <v>#NAME?</v>
      </c>
    </row>
    <row r="46" spans="4:7" x14ac:dyDescent="0.25">
      <c r="D46">
        <v>29.905252999999998</v>
      </c>
      <c r="E46" t="e">
        <f t="shared" ca="1" si="3"/>
        <v>#NAME?</v>
      </c>
      <c r="F46" t="e">
        <f t="shared" ca="1" si="4"/>
        <v>#NAME?</v>
      </c>
      <c r="G46" t="e">
        <f t="shared" ca="1" si="5"/>
        <v>#NAME?</v>
      </c>
    </row>
    <row r="47" spans="4:7" x14ac:dyDescent="0.25">
      <c r="D47">
        <v>30.713232000000001</v>
      </c>
      <c r="E47" t="e">
        <f t="shared" ca="1" si="3"/>
        <v>#NAME?</v>
      </c>
      <c r="F47" t="e">
        <f t="shared" ca="1" si="4"/>
        <v>#NAME?</v>
      </c>
      <c r="G47" t="e">
        <f t="shared" ca="1" si="5"/>
        <v>#NAME?</v>
      </c>
    </row>
    <row r="48" spans="4:7" x14ac:dyDescent="0.25">
      <c r="D48">
        <v>31.521211999999998</v>
      </c>
      <c r="E48" t="e">
        <f t="shared" ca="1" si="3"/>
        <v>#NAME?</v>
      </c>
      <c r="F48" t="e">
        <f t="shared" ca="1" si="4"/>
        <v>#NAME?</v>
      </c>
      <c r="G48" t="e">
        <f t="shared" ca="1" si="5"/>
        <v>#NAME?</v>
      </c>
    </row>
    <row r="49" spans="4:7" x14ac:dyDescent="0.25">
      <c r="D49">
        <v>32.329191999999999</v>
      </c>
      <c r="E49" t="e">
        <f t="shared" ca="1" si="3"/>
        <v>#NAME?</v>
      </c>
      <c r="F49" t="e">
        <f t="shared" ca="1" si="4"/>
        <v>#NAME?</v>
      </c>
      <c r="G49" t="e">
        <f t="shared" ca="1" si="5"/>
        <v>#NAME?</v>
      </c>
    </row>
    <row r="50" spans="4:7" x14ac:dyDescent="0.25">
      <c r="D50">
        <v>33.137172</v>
      </c>
      <c r="E50" t="e">
        <f t="shared" ca="1" si="3"/>
        <v>#NAME?</v>
      </c>
      <c r="F50" t="e">
        <f t="shared" ca="1" si="4"/>
        <v>#NAME?</v>
      </c>
      <c r="G50" t="e">
        <f t="shared" ca="1" si="5"/>
        <v>#NAME?</v>
      </c>
    </row>
    <row r="51" spans="4:7" x14ac:dyDescent="0.25">
      <c r="D51">
        <v>33.945152</v>
      </c>
      <c r="E51" t="e">
        <f t="shared" ca="1" si="3"/>
        <v>#NAME?</v>
      </c>
      <c r="F51" t="e">
        <f t="shared" ca="1" si="4"/>
        <v>#NAME?</v>
      </c>
      <c r="G51" t="e">
        <f t="shared" ca="1" si="5"/>
        <v>#NAME?</v>
      </c>
    </row>
    <row r="52" spans="4:7" x14ac:dyDescent="0.25">
      <c r="D52">
        <v>34.753131000000003</v>
      </c>
      <c r="E52" t="e">
        <f t="shared" ca="1" si="3"/>
        <v>#NAME?</v>
      </c>
      <c r="F52" t="e">
        <f t="shared" ca="1" si="4"/>
        <v>#NAME?</v>
      </c>
      <c r="G52" t="e">
        <f t="shared" ca="1" si="5"/>
        <v>#NAME?</v>
      </c>
    </row>
    <row r="53" spans="4:7" x14ac:dyDescent="0.25">
      <c r="D53">
        <v>35.561110999999997</v>
      </c>
      <c r="E53" t="e">
        <f t="shared" ca="1" si="3"/>
        <v>#NAME?</v>
      </c>
      <c r="F53" t="e">
        <f t="shared" ca="1" si="4"/>
        <v>#NAME?</v>
      </c>
      <c r="G53" t="e">
        <f t="shared" ca="1" si="5"/>
        <v>#NAME?</v>
      </c>
    </row>
    <row r="54" spans="4:7" x14ac:dyDescent="0.25">
      <c r="D54">
        <v>36.369090999999997</v>
      </c>
      <c r="E54" t="e">
        <f t="shared" ca="1" si="3"/>
        <v>#NAME?</v>
      </c>
      <c r="F54" t="e">
        <f t="shared" ca="1" si="4"/>
        <v>#NAME?</v>
      </c>
      <c r="G54" t="e">
        <f t="shared" ca="1" si="5"/>
        <v>#NAME?</v>
      </c>
    </row>
    <row r="55" spans="4:7" x14ac:dyDescent="0.25">
      <c r="D55">
        <v>37.177070999999998</v>
      </c>
      <c r="E55" t="e">
        <f t="shared" ca="1" si="3"/>
        <v>#NAME?</v>
      </c>
      <c r="F55" t="e">
        <f t="shared" ca="1" si="4"/>
        <v>#NAME?</v>
      </c>
      <c r="G55" t="e">
        <f t="shared" ca="1" si="5"/>
        <v>#NAME?</v>
      </c>
    </row>
    <row r="56" spans="4:7" x14ac:dyDescent="0.25">
      <c r="D56">
        <v>37.985050999999999</v>
      </c>
      <c r="E56" t="e">
        <f t="shared" ca="1" si="3"/>
        <v>#NAME?</v>
      </c>
      <c r="F56" t="e">
        <f t="shared" ca="1" si="4"/>
        <v>#NAME?</v>
      </c>
      <c r="G56" t="e">
        <f t="shared" ca="1" si="5"/>
        <v>#NAME?</v>
      </c>
    </row>
    <row r="57" spans="4:7" x14ac:dyDescent="0.25">
      <c r="D57">
        <v>38.793030000000002</v>
      </c>
      <c r="E57" t="e">
        <f t="shared" ca="1" si="3"/>
        <v>#NAME?</v>
      </c>
      <c r="F57" t="e">
        <f t="shared" ca="1" si="4"/>
        <v>#NAME?</v>
      </c>
      <c r="G57" t="e">
        <f t="shared" ca="1" si="5"/>
        <v>#NAME?</v>
      </c>
    </row>
    <row r="58" spans="4:7" x14ac:dyDescent="0.25">
      <c r="D58">
        <v>39.601010000000002</v>
      </c>
      <c r="E58" t="e">
        <f t="shared" ca="1" si="3"/>
        <v>#NAME?</v>
      </c>
      <c r="F58" t="e">
        <f t="shared" ca="1" si="4"/>
        <v>#NAME?</v>
      </c>
      <c r="G58" t="e">
        <f t="shared" ca="1" si="5"/>
        <v>#NAME?</v>
      </c>
    </row>
    <row r="59" spans="4:7" x14ac:dyDescent="0.25">
      <c r="D59">
        <v>40.408990000000003</v>
      </c>
      <c r="E59" t="e">
        <f t="shared" ca="1" si="3"/>
        <v>#NAME?</v>
      </c>
      <c r="F59" t="e">
        <f t="shared" ca="1" si="4"/>
        <v>#NAME?</v>
      </c>
      <c r="G59" t="e">
        <f t="shared" ca="1" si="5"/>
        <v>#NAME?</v>
      </c>
    </row>
    <row r="60" spans="4:7" x14ac:dyDescent="0.25">
      <c r="D60">
        <v>41.216970000000003</v>
      </c>
      <c r="E60" t="e">
        <f t="shared" ca="1" si="3"/>
        <v>#NAME?</v>
      </c>
      <c r="F60" t="e">
        <f t="shared" ca="1" si="4"/>
        <v>#NAME?</v>
      </c>
      <c r="G60" t="e">
        <f t="shared" ca="1" si="5"/>
        <v>#NAME?</v>
      </c>
    </row>
    <row r="61" spans="4:7" x14ac:dyDescent="0.25">
      <c r="D61">
        <v>42.024948999999999</v>
      </c>
      <c r="E61" t="e">
        <f t="shared" ca="1" si="3"/>
        <v>#NAME?</v>
      </c>
      <c r="F61" t="e">
        <f t="shared" ca="1" si="4"/>
        <v>#NAME?</v>
      </c>
      <c r="G61" t="e">
        <f t="shared" ca="1" si="5"/>
        <v>#NAME?</v>
      </c>
    </row>
    <row r="62" spans="4:7" x14ac:dyDescent="0.25">
      <c r="D62">
        <v>42.832929</v>
      </c>
      <c r="E62" t="e">
        <f t="shared" ca="1" si="3"/>
        <v>#NAME?</v>
      </c>
      <c r="F62" t="e">
        <f t="shared" ca="1" si="4"/>
        <v>#NAME?</v>
      </c>
      <c r="G62" t="e">
        <f t="shared" ca="1" si="5"/>
        <v>#NAME?</v>
      </c>
    </row>
    <row r="63" spans="4:7" x14ac:dyDescent="0.25">
      <c r="D63">
        <v>43.640909000000001</v>
      </c>
      <c r="E63" t="e">
        <f t="shared" ca="1" si="3"/>
        <v>#NAME?</v>
      </c>
      <c r="F63" t="e">
        <f t="shared" ca="1" si="4"/>
        <v>#NAME?</v>
      </c>
      <c r="G63" t="e">
        <f t="shared" ca="1" si="5"/>
        <v>#NAME?</v>
      </c>
    </row>
    <row r="64" spans="4:7" x14ac:dyDescent="0.25">
      <c r="D64">
        <v>44.448889000000001</v>
      </c>
      <c r="E64" t="e">
        <f t="shared" ca="1" si="3"/>
        <v>#NAME?</v>
      </c>
      <c r="F64" t="e">
        <f t="shared" ca="1" si="4"/>
        <v>#NAME?</v>
      </c>
      <c r="G64" t="e">
        <f t="shared" ca="1" si="5"/>
        <v>#NAME?</v>
      </c>
    </row>
    <row r="65" spans="4:7" x14ac:dyDescent="0.25">
      <c r="D65">
        <v>45.256869000000002</v>
      </c>
      <c r="E65" t="e">
        <f t="shared" ca="1" si="3"/>
        <v>#NAME?</v>
      </c>
      <c r="F65" t="e">
        <f t="shared" ca="1" si="4"/>
        <v>#NAME?</v>
      </c>
      <c r="G65" t="e">
        <f t="shared" ca="1" si="5"/>
        <v>#NAME?</v>
      </c>
    </row>
    <row r="66" spans="4:7" x14ac:dyDescent="0.25">
      <c r="D66">
        <v>46.064847999999998</v>
      </c>
      <c r="E66" t="e">
        <f t="shared" ca="1" si="3"/>
        <v>#NAME?</v>
      </c>
      <c r="F66" t="e">
        <f t="shared" ca="1" si="4"/>
        <v>#NAME?</v>
      </c>
      <c r="G66" t="e">
        <f t="shared" ca="1" si="5"/>
        <v>#NAME?</v>
      </c>
    </row>
    <row r="67" spans="4:7" x14ac:dyDescent="0.25">
      <c r="D67">
        <v>46.872827999999998</v>
      </c>
      <c r="E67" t="e">
        <f t="shared" ca="1" si="3"/>
        <v>#NAME?</v>
      </c>
      <c r="F67" t="e">
        <f t="shared" ca="1" si="4"/>
        <v>#NAME?</v>
      </c>
      <c r="G67" t="e">
        <f t="shared" ca="1" si="5"/>
        <v>#NAME?</v>
      </c>
    </row>
    <row r="68" spans="4:7" x14ac:dyDescent="0.25">
      <c r="D68">
        <v>47.680807999999999</v>
      </c>
      <c r="E68" t="e">
        <f t="shared" ca="1" si="3"/>
        <v>#NAME?</v>
      </c>
      <c r="F68" t="e">
        <f t="shared" ca="1" si="4"/>
        <v>#NAME?</v>
      </c>
      <c r="G68" t="e">
        <f t="shared" ca="1" si="5"/>
        <v>#NAME?</v>
      </c>
    </row>
    <row r="69" spans="4:7" x14ac:dyDescent="0.25">
      <c r="D69">
        <v>48.488788</v>
      </c>
      <c r="E69" t="e">
        <f t="shared" ca="1" si="3"/>
        <v>#NAME?</v>
      </c>
      <c r="F69" t="e">
        <f t="shared" ca="1" si="4"/>
        <v>#NAME?</v>
      </c>
      <c r="G69" t="e">
        <f t="shared" ca="1" si="5"/>
        <v>#NAME?</v>
      </c>
    </row>
    <row r="70" spans="4:7" x14ac:dyDescent="0.25">
      <c r="D70">
        <v>49.296768</v>
      </c>
      <c r="E70" t="e">
        <f t="shared" ca="1" si="3"/>
        <v>#NAME?</v>
      </c>
      <c r="F70" t="e">
        <f t="shared" ca="1" si="4"/>
        <v>#NAME?</v>
      </c>
      <c r="G70" t="e">
        <f t="shared" ca="1" si="5"/>
        <v>#NAME?</v>
      </c>
    </row>
    <row r="71" spans="4:7" x14ac:dyDescent="0.25">
      <c r="D71">
        <v>50.104747000000003</v>
      </c>
      <c r="E71" t="e">
        <f t="shared" ca="1" si="3"/>
        <v>#NAME?</v>
      </c>
      <c r="F71" t="e">
        <f t="shared" ca="1" si="4"/>
        <v>#NAME?</v>
      </c>
      <c r="G71" t="e">
        <f t="shared" ca="1" si="5"/>
        <v>#NAME?</v>
      </c>
    </row>
    <row r="72" spans="4:7" x14ac:dyDescent="0.25">
      <c r="D72">
        <v>50.912726999999997</v>
      </c>
      <c r="E72" t="e">
        <f t="shared" ca="1" si="3"/>
        <v>#NAME?</v>
      </c>
      <c r="F72" t="e">
        <f t="shared" ca="1" si="4"/>
        <v>#NAME?</v>
      </c>
      <c r="G72" t="e">
        <f t="shared" ca="1" si="5"/>
        <v>#NAME?</v>
      </c>
    </row>
    <row r="73" spans="4:7" x14ac:dyDescent="0.25">
      <c r="D73">
        <v>51.720706999999997</v>
      </c>
      <c r="E73" t="e">
        <f t="shared" ref="E73:E104" ca="1" si="6">FACKLER.PARETO5.PDF(D73,$B$9,$B$10,$B$11,$B$12,$B$13)</f>
        <v>#NAME?</v>
      </c>
      <c r="F73" t="e">
        <f t="shared" ref="F73:F108" ca="1" si="7">FACKLER.PARETO5.CDF(D73,$B$9,$B$10,$B$11,$B$12,$B$13)</f>
        <v>#NAME?</v>
      </c>
      <c r="G73" t="e">
        <f t="shared" ref="G73:G108" ca="1" si="8">FACKLER.PARETO5.SF(D73,$B$9,$B$10,$B$11,$B$12,$B$13)</f>
        <v>#NAME?</v>
      </c>
    </row>
    <row r="74" spans="4:7" x14ac:dyDescent="0.25">
      <c r="D74">
        <v>52.528686999999998</v>
      </c>
      <c r="E74" t="e">
        <f t="shared" ca="1" si="6"/>
        <v>#NAME?</v>
      </c>
      <c r="F74" t="e">
        <f t="shared" ca="1" si="7"/>
        <v>#NAME?</v>
      </c>
      <c r="G74" t="e">
        <f t="shared" ca="1" si="8"/>
        <v>#NAME?</v>
      </c>
    </row>
    <row r="75" spans="4:7" x14ac:dyDescent="0.25">
      <c r="D75">
        <v>53.336666999999998</v>
      </c>
      <c r="E75" t="e">
        <f t="shared" ca="1" si="6"/>
        <v>#NAME?</v>
      </c>
      <c r="F75" t="e">
        <f t="shared" ca="1" si="7"/>
        <v>#NAME?</v>
      </c>
      <c r="G75" t="e">
        <f t="shared" ca="1" si="8"/>
        <v>#NAME?</v>
      </c>
    </row>
    <row r="76" spans="4:7" x14ac:dyDescent="0.25">
      <c r="D76">
        <v>54.144646000000002</v>
      </c>
      <c r="E76" t="e">
        <f t="shared" ca="1" si="6"/>
        <v>#NAME?</v>
      </c>
      <c r="F76" t="e">
        <f t="shared" ca="1" si="7"/>
        <v>#NAME?</v>
      </c>
      <c r="G76" t="e">
        <f t="shared" ca="1" si="8"/>
        <v>#NAME?</v>
      </c>
    </row>
    <row r="77" spans="4:7" x14ac:dyDescent="0.25">
      <c r="D77">
        <v>54.952626000000002</v>
      </c>
      <c r="E77" t="e">
        <f t="shared" ca="1" si="6"/>
        <v>#NAME?</v>
      </c>
      <c r="F77" t="e">
        <f t="shared" ca="1" si="7"/>
        <v>#NAME?</v>
      </c>
      <c r="G77" t="e">
        <f t="shared" ca="1" si="8"/>
        <v>#NAME?</v>
      </c>
    </row>
    <row r="78" spans="4:7" x14ac:dyDescent="0.25">
      <c r="D78">
        <v>55.760606000000003</v>
      </c>
      <c r="E78" t="e">
        <f t="shared" ca="1" si="6"/>
        <v>#NAME?</v>
      </c>
      <c r="F78" t="e">
        <f t="shared" ca="1" si="7"/>
        <v>#NAME?</v>
      </c>
      <c r="G78" t="e">
        <f t="shared" ca="1" si="8"/>
        <v>#NAME?</v>
      </c>
    </row>
    <row r="79" spans="4:7" x14ac:dyDescent="0.25">
      <c r="D79">
        <v>56.568586000000003</v>
      </c>
      <c r="E79" t="e">
        <f t="shared" ca="1" si="6"/>
        <v>#NAME?</v>
      </c>
      <c r="F79" t="e">
        <f t="shared" ca="1" si="7"/>
        <v>#NAME?</v>
      </c>
      <c r="G79" t="e">
        <f t="shared" ca="1" si="8"/>
        <v>#NAME?</v>
      </c>
    </row>
    <row r="80" spans="4:7" x14ac:dyDescent="0.25">
      <c r="D80">
        <v>57.376565999999997</v>
      </c>
      <c r="E80" t="e">
        <f t="shared" ca="1" si="6"/>
        <v>#NAME?</v>
      </c>
      <c r="F80" t="e">
        <f t="shared" ca="1" si="7"/>
        <v>#NAME?</v>
      </c>
      <c r="G80" t="e">
        <f t="shared" ca="1" si="8"/>
        <v>#NAME?</v>
      </c>
    </row>
    <row r="81" spans="4:7" x14ac:dyDescent="0.25">
      <c r="D81">
        <v>58.184545</v>
      </c>
      <c r="E81" t="e">
        <f t="shared" ca="1" si="6"/>
        <v>#NAME?</v>
      </c>
      <c r="F81" t="e">
        <f t="shared" ca="1" si="7"/>
        <v>#NAME?</v>
      </c>
      <c r="G81" t="e">
        <f t="shared" ca="1" si="8"/>
        <v>#NAME?</v>
      </c>
    </row>
    <row r="82" spans="4:7" x14ac:dyDescent="0.25">
      <c r="D82">
        <v>58.992525000000001</v>
      </c>
      <c r="E82" t="e">
        <f t="shared" ca="1" si="6"/>
        <v>#NAME?</v>
      </c>
      <c r="F82" t="e">
        <f t="shared" ca="1" si="7"/>
        <v>#NAME?</v>
      </c>
      <c r="G82" t="e">
        <f t="shared" ca="1" si="8"/>
        <v>#NAME?</v>
      </c>
    </row>
    <row r="83" spans="4:7" x14ac:dyDescent="0.25">
      <c r="D83">
        <v>59.800505000000001</v>
      </c>
      <c r="E83" t="e">
        <f t="shared" ca="1" si="6"/>
        <v>#NAME?</v>
      </c>
      <c r="F83" t="e">
        <f t="shared" ca="1" si="7"/>
        <v>#NAME?</v>
      </c>
      <c r="G83" t="e">
        <f t="shared" ca="1" si="8"/>
        <v>#NAME?</v>
      </c>
    </row>
    <row r="84" spans="4:7" x14ac:dyDescent="0.25">
      <c r="D84">
        <v>60.608485000000002</v>
      </c>
      <c r="E84" t="e">
        <f t="shared" ca="1" si="6"/>
        <v>#NAME?</v>
      </c>
      <c r="F84" t="e">
        <f t="shared" ca="1" si="7"/>
        <v>#NAME?</v>
      </c>
      <c r="G84" t="e">
        <f t="shared" ca="1" si="8"/>
        <v>#NAME?</v>
      </c>
    </row>
    <row r="85" spans="4:7" x14ac:dyDescent="0.25">
      <c r="D85">
        <v>61.416465000000002</v>
      </c>
      <c r="E85" t="e">
        <f t="shared" ca="1" si="6"/>
        <v>#NAME?</v>
      </c>
      <c r="F85" t="e">
        <f t="shared" ca="1" si="7"/>
        <v>#NAME?</v>
      </c>
      <c r="G85" t="e">
        <f t="shared" ca="1" si="8"/>
        <v>#NAME?</v>
      </c>
    </row>
    <row r="86" spans="4:7" x14ac:dyDescent="0.25">
      <c r="D86">
        <v>62.224443999999998</v>
      </c>
      <c r="E86" t="e">
        <f t="shared" ca="1" si="6"/>
        <v>#NAME?</v>
      </c>
      <c r="F86" t="e">
        <f t="shared" ca="1" si="7"/>
        <v>#NAME?</v>
      </c>
      <c r="G86" t="e">
        <f t="shared" ca="1" si="8"/>
        <v>#NAME?</v>
      </c>
    </row>
    <row r="87" spans="4:7" x14ac:dyDescent="0.25">
      <c r="D87">
        <v>63.032423999999999</v>
      </c>
      <c r="E87" t="e">
        <f t="shared" ca="1" si="6"/>
        <v>#NAME?</v>
      </c>
      <c r="F87" t="e">
        <f t="shared" ca="1" si="7"/>
        <v>#NAME?</v>
      </c>
      <c r="G87" t="e">
        <f t="shared" ca="1" si="8"/>
        <v>#NAME?</v>
      </c>
    </row>
    <row r="88" spans="4:7" x14ac:dyDescent="0.25">
      <c r="D88">
        <v>63.840403999999999</v>
      </c>
      <c r="E88" t="e">
        <f t="shared" ca="1" si="6"/>
        <v>#NAME?</v>
      </c>
      <c r="F88" t="e">
        <f t="shared" ca="1" si="7"/>
        <v>#NAME?</v>
      </c>
      <c r="G88" t="e">
        <f t="shared" ca="1" si="8"/>
        <v>#NAME?</v>
      </c>
    </row>
    <row r="89" spans="4:7" x14ac:dyDescent="0.25">
      <c r="D89">
        <v>64.648383999999993</v>
      </c>
      <c r="E89" t="e">
        <f t="shared" ca="1" si="6"/>
        <v>#NAME?</v>
      </c>
      <c r="F89" t="e">
        <f t="shared" ca="1" si="7"/>
        <v>#NAME?</v>
      </c>
      <c r="G89" t="e">
        <f t="shared" ca="1" si="8"/>
        <v>#NAME?</v>
      </c>
    </row>
    <row r="90" spans="4:7" x14ac:dyDescent="0.25">
      <c r="D90">
        <v>65.456363999999994</v>
      </c>
      <c r="E90" t="e">
        <f t="shared" ca="1" si="6"/>
        <v>#NAME?</v>
      </c>
      <c r="F90" t="e">
        <f t="shared" ca="1" si="7"/>
        <v>#NAME?</v>
      </c>
      <c r="G90" t="e">
        <f t="shared" ca="1" si="8"/>
        <v>#NAME?</v>
      </c>
    </row>
    <row r="91" spans="4:7" x14ac:dyDescent="0.25">
      <c r="D91">
        <v>66.264342999999997</v>
      </c>
      <c r="E91" t="e">
        <f t="shared" ca="1" si="6"/>
        <v>#NAME?</v>
      </c>
      <c r="F91" t="e">
        <f t="shared" ca="1" si="7"/>
        <v>#NAME?</v>
      </c>
      <c r="G91" t="e">
        <f t="shared" ca="1" si="8"/>
        <v>#NAME?</v>
      </c>
    </row>
    <row r="92" spans="4:7" x14ac:dyDescent="0.25">
      <c r="D92">
        <v>67.072322999999997</v>
      </c>
      <c r="E92" t="e">
        <f t="shared" ca="1" si="6"/>
        <v>#NAME?</v>
      </c>
      <c r="F92" t="e">
        <f t="shared" ca="1" si="7"/>
        <v>#NAME?</v>
      </c>
      <c r="G92" t="e">
        <f t="shared" ca="1" si="8"/>
        <v>#NAME?</v>
      </c>
    </row>
    <row r="93" spans="4:7" x14ac:dyDescent="0.25">
      <c r="D93">
        <v>67.880302999999998</v>
      </c>
      <c r="E93" t="e">
        <f t="shared" ca="1" si="6"/>
        <v>#NAME?</v>
      </c>
      <c r="F93" t="e">
        <f t="shared" ca="1" si="7"/>
        <v>#NAME?</v>
      </c>
      <c r="G93" t="e">
        <f t="shared" ca="1" si="8"/>
        <v>#NAME?</v>
      </c>
    </row>
    <row r="94" spans="4:7" x14ac:dyDescent="0.25">
      <c r="D94">
        <v>68.688282999999998</v>
      </c>
      <c r="E94" t="e">
        <f t="shared" ca="1" si="6"/>
        <v>#NAME?</v>
      </c>
      <c r="F94" t="e">
        <f t="shared" ca="1" si="7"/>
        <v>#NAME?</v>
      </c>
      <c r="G94" t="e">
        <f t="shared" ca="1" si="8"/>
        <v>#NAME?</v>
      </c>
    </row>
    <row r="95" spans="4:7" x14ac:dyDescent="0.25">
      <c r="D95">
        <v>69.496262999999999</v>
      </c>
      <c r="E95" t="e">
        <f t="shared" ca="1" si="6"/>
        <v>#NAME?</v>
      </c>
      <c r="F95" t="e">
        <f t="shared" ca="1" si="7"/>
        <v>#NAME?</v>
      </c>
      <c r="G95" t="e">
        <f t="shared" ca="1" si="8"/>
        <v>#NAME?</v>
      </c>
    </row>
    <row r="96" spans="4:7" x14ac:dyDescent="0.25">
      <c r="D96">
        <v>70.304242000000002</v>
      </c>
      <c r="E96" t="e">
        <f t="shared" ca="1" si="6"/>
        <v>#NAME?</v>
      </c>
      <c r="F96" t="e">
        <f t="shared" ca="1" si="7"/>
        <v>#NAME?</v>
      </c>
      <c r="G96" t="e">
        <f t="shared" ca="1" si="8"/>
        <v>#NAME?</v>
      </c>
    </row>
    <row r="97" spans="4:7" x14ac:dyDescent="0.25">
      <c r="D97">
        <v>71.112222000000003</v>
      </c>
      <c r="E97" t="e">
        <f t="shared" ca="1" si="6"/>
        <v>#NAME?</v>
      </c>
      <c r="F97" t="e">
        <f t="shared" ca="1" si="7"/>
        <v>#NAME?</v>
      </c>
      <c r="G97" t="e">
        <f t="shared" ca="1" si="8"/>
        <v>#NAME?</v>
      </c>
    </row>
    <row r="98" spans="4:7" x14ac:dyDescent="0.25">
      <c r="D98">
        <v>71.920202000000003</v>
      </c>
      <c r="E98" t="e">
        <f t="shared" ca="1" si="6"/>
        <v>#NAME?</v>
      </c>
      <c r="F98" t="e">
        <f t="shared" ca="1" si="7"/>
        <v>#NAME?</v>
      </c>
      <c r="G98" t="e">
        <f t="shared" ca="1" si="8"/>
        <v>#NAME?</v>
      </c>
    </row>
    <row r="99" spans="4:7" x14ac:dyDescent="0.25">
      <c r="D99">
        <v>72.728182000000004</v>
      </c>
      <c r="E99" t="e">
        <f t="shared" ca="1" si="6"/>
        <v>#NAME?</v>
      </c>
      <c r="F99" t="e">
        <f t="shared" ca="1" si="7"/>
        <v>#NAME?</v>
      </c>
      <c r="G99" t="e">
        <f t="shared" ca="1" si="8"/>
        <v>#NAME?</v>
      </c>
    </row>
    <row r="100" spans="4:7" x14ac:dyDescent="0.25">
      <c r="D100">
        <v>73.536162000000004</v>
      </c>
      <c r="E100" t="e">
        <f t="shared" ca="1" si="6"/>
        <v>#NAME?</v>
      </c>
      <c r="F100" t="e">
        <f t="shared" ca="1" si="7"/>
        <v>#NAME?</v>
      </c>
      <c r="G100" t="e">
        <f t="shared" ca="1" si="8"/>
        <v>#NAME?</v>
      </c>
    </row>
    <row r="101" spans="4:7" x14ac:dyDescent="0.25">
      <c r="D101">
        <v>74.344140999999993</v>
      </c>
      <c r="E101" t="e">
        <f t="shared" ca="1" si="6"/>
        <v>#NAME?</v>
      </c>
      <c r="F101" t="e">
        <f t="shared" ca="1" si="7"/>
        <v>#NAME?</v>
      </c>
      <c r="G101" t="e">
        <f t="shared" ca="1" si="8"/>
        <v>#NAME?</v>
      </c>
    </row>
    <row r="102" spans="4:7" x14ac:dyDescent="0.25">
      <c r="D102">
        <v>75.152120999999994</v>
      </c>
      <c r="E102" t="e">
        <f t="shared" ca="1" si="6"/>
        <v>#NAME?</v>
      </c>
      <c r="F102" t="e">
        <f t="shared" ca="1" si="7"/>
        <v>#NAME?</v>
      </c>
      <c r="G102" t="e">
        <f t="shared" ca="1" si="8"/>
        <v>#NAME?</v>
      </c>
    </row>
    <row r="103" spans="4:7" x14ac:dyDescent="0.25">
      <c r="D103">
        <v>75.960100999999995</v>
      </c>
      <c r="E103" t="e">
        <f t="shared" ca="1" si="6"/>
        <v>#NAME?</v>
      </c>
      <c r="F103" t="e">
        <f t="shared" ca="1" si="7"/>
        <v>#NAME?</v>
      </c>
      <c r="G103" t="e">
        <f t="shared" ca="1" si="8"/>
        <v>#NAME?</v>
      </c>
    </row>
    <row r="104" spans="4:7" x14ac:dyDescent="0.25">
      <c r="D104">
        <v>76.768080999999995</v>
      </c>
      <c r="E104" t="e">
        <f t="shared" ca="1" si="6"/>
        <v>#NAME?</v>
      </c>
      <c r="F104" t="e">
        <f t="shared" ca="1" si="7"/>
        <v>#NAME?</v>
      </c>
      <c r="G104" t="e">
        <f t="shared" ca="1" si="8"/>
        <v>#NAME?</v>
      </c>
    </row>
    <row r="105" spans="4:7" x14ac:dyDescent="0.25">
      <c r="D105">
        <v>77.576060999999996</v>
      </c>
      <c r="E105" t="e">
        <f t="shared" ref="E105:E136" ca="1" si="9">FACKLER.PARETO5.PDF(D105,$B$9,$B$10,$B$11,$B$12,$B$13)</f>
        <v>#NAME?</v>
      </c>
      <c r="F105" t="e">
        <f t="shared" ca="1" si="7"/>
        <v>#NAME?</v>
      </c>
      <c r="G105" t="e">
        <f t="shared" ca="1" si="8"/>
        <v>#NAME?</v>
      </c>
    </row>
    <row r="106" spans="4:7" x14ac:dyDescent="0.25">
      <c r="D106">
        <v>78.384039999999999</v>
      </c>
      <c r="E106" t="e">
        <f t="shared" ca="1" si="9"/>
        <v>#NAME?</v>
      </c>
      <c r="F106" t="e">
        <f t="shared" ca="1" si="7"/>
        <v>#NAME?</v>
      </c>
      <c r="G106" t="e">
        <f t="shared" ca="1" si="8"/>
        <v>#NAME?</v>
      </c>
    </row>
    <row r="107" spans="4:7" x14ac:dyDescent="0.25">
      <c r="D107">
        <v>79.192019999999999</v>
      </c>
      <c r="E107" t="e">
        <f t="shared" ca="1" si="9"/>
        <v>#NAME?</v>
      </c>
      <c r="F107" t="e">
        <f t="shared" ca="1" si="7"/>
        <v>#NAME?</v>
      </c>
      <c r="G107" t="e">
        <f t="shared" ca="1" si="8"/>
        <v>#NAME?</v>
      </c>
    </row>
    <row r="108" spans="4:7" x14ac:dyDescent="0.25">
      <c r="D108">
        <v>80</v>
      </c>
      <c r="E108" t="e">
        <f t="shared" ca="1" si="9"/>
        <v>#NAME?</v>
      </c>
      <c r="F108" t="e">
        <f t="shared" ca="1" si="7"/>
        <v>#NAME?</v>
      </c>
      <c r="G108" t="e">
        <f t="shared" ca="1" si="8"/>
        <v>#NAME?</v>
      </c>
    </row>
  </sheetData>
  <mergeCells count="3">
    <mergeCell ref="A4:C6"/>
    <mergeCell ref="A8:B8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Pareto</vt:lpstr>
      <vt:lpstr>GPD</vt:lpstr>
      <vt:lpstr>Lomax</vt:lpstr>
      <vt:lpstr>Burr</vt:lpstr>
      <vt:lpstr>LN-Pareto</vt:lpstr>
      <vt:lpstr>Wei-Pareto</vt:lpstr>
      <vt:lpstr>Exp-Pareto</vt:lpstr>
      <vt:lpstr>Pow-Pareto</vt:lpstr>
      <vt:lpstr>Pareto-4P</vt:lpstr>
      <vt:lpstr>Pareto-5P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Evans</cp:lastModifiedBy>
  <dcterms:created xsi:type="dcterms:W3CDTF">2026-01-27T13:10:30Z</dcterms:created>
  <dcterms:modified xsi:type="dcterms:W3CDTF">2026-01-27T14:12:43Z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e731c7-18ee-4e98-9e6d-6e3daf0cfb89_Enabled">
    <vt:lpwstr>true</vt:lpwstr>
  </property>
  <property fmtid="{D5CDD505-2E9C-101B-9397-08002B2CF9AE}" pid="3" name="MSIP_Label_56e731c7-18ee-4e98-9e6d-6e3daf0cfb89_SetDate">
    <vt:lpwstr>2026-01-27T14:12:42Z</vt:lpwstr>
  </property>
  <property fmtid="{D5CDD505-2E9C-101B-9397-08002B2CF9AE}" pid="4" name="MSIP_Label_56e731c7-18ee-4e98-9e6d-6e3daf0cfb89_Method">
    <vt:lpwstr>Standard</vt:lpwstr>
  </property>
  <property fmtid="{D5CDD505-2E9C-101B-9397-08002B2CF9AE}" pid="5" name="MSIP_Label_56e731c7-18ee-4e98-9e6d-6e3daf0cfb89_Name">
    <vt:lpwstr>defa4170-0d19-0005-0004-bc88714345d2</vt:lpwstr>
  </property>
  <property fmtid="{D5CDD505-2E9C-101B-9397-08002B2CF9AE}" pid="6" name="MSIP_Label_56e731c7-18ee-4e98-9e6d-6e3daf0cfb89_SiteId">
    <vt:lpwstr>be2678de-9b13-4afa-8272-f5dcd02fff31</vt:lpwstr>
  </property>
  <property fmtid="{D5CDD505-2E9C-101B-9397-08002B2CF9AE}" pid="7" name="MSIP_Label_56e731c7-18ee-4e98-9e6d-6e3daf0cfb89_ActionId">
    <vt:lpwstr>98a60a41-f2d8-428f-8b01-709a9dd4aab8</vt:lpwstr>
  </property>
  <property fmtid="{D5CDD505-2E9C-101B-9397-08002B2CF9AE}" pid="8" name="MSIP_Label_56e731c7-18ee-4e98-9e6d-6e3daf0cfb89_ContentBits">
    <vt:lpwstr>0</vt:lpwstr>
  </property>
  <property fmtid="{D5CDD505-2E9C-101B-9397-08002B2CF9AE}" pid="9" name="MSIP_Label_56e731c7-18ee-4e98-9e6d-6e3daf0cfb89_Tag">
    <vt:lpwstr>10, 3, 0, 1</vt:lpwstr>
  </property>
</Properties>
</file>